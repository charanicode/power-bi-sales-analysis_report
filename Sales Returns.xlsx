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Excelytics\Material Package\Course End Project\"/>
    </mc:Choice>
  </mc:AlternateContent>
  <xr:revisionPtr revIDLastSave="0" documentId="8_{205170E4-31EE-4FDB-954C-EB47D65FFE19}" xr6:coauthVersionLast="44" xr6:coauthVersionMax="44" xr10:uidLastSave="{00000000-0000-0000-0000-000000000000}"/>
  <bookViews>
    <workbookView xWindow="-120" yWindow="-120" windowWidth="20640" windowHeight="11160" xr2:uid="{42F2B35B-2297-49CC-BFB2-CFD8A81AE2D0}"/>
  </bookViews>
  <sheets>
    <sheet name="Sales Returns" sheetId="1" r:id="rId1"/>
  </sheets>
  <definedNames>
    <definedName name="_xlnm._FilterDatabase" localSheetId="0" hidden="1">'Sales Returns'!$A$1:$D$338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38" i="1" l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<sst xmlns="http://schemas.openxmlformats.org/spreadsheetml/2006/main" count="332" uniqueCount="332">
  <si>
    <t>Order ID</t>
  </si>
  <si>
    <t>Order Date</t>
  </si>
  <si>
    <t>Returned</t>
  </si>
  <si>
    <t>CA-2019-139857</t>
  </si>
  <si>
    <t>CA-2019-107181</t>
  </si>
  <si>
    <t>CA-2019-104808</t>
  </si>
  <si>
    <t>CA-2019-122567</t>
  </si>
  <si>
    <t>CA-2019-104563</t>
  </si>
  <si>
    <t>CA-2019-166884</t>
  </si>
  <si>
    <t>CA-2019-149958</t>
  </si>
  <si>
    <t>CA-2019-163223</t>
  </si>
  <si>
    <t>CA-2019-148586</t>
  </si>
  <si>
    <t>CA-2019-128237</t>
  </si>
  <si>
    <t>CA-2019-110555</t>
  </si>
  <si>
    <t>CA-2019-160094</t>
  </si>
  <si>
    <t>CA-2019-135755</t>
  </si>
  <si>
    <t>CA-2019-159709</t>
  </si>
  <si>
    <t>CA-2019-127166</t>
  </si>
  <si>
    <t>CA-2019-124429</t>
  </si>
  <si>
    <t>CA-2019-163867</t>
  </si>
  <si>
    <t>US-2019-141215</t>
  </si>
  <si>
    <t>CA-2019-109218</t>
  </si>
  <si>
    <t>CA-2019-113271</t>
  </si>
  <si>
    <t>CA-2019-163552</t>
  </si>
  <si>
    <t>CA-2019-142965</t>
  </si>
  <si>
    <t>CA-2019-143917</t>
  </si>
  <si>
    <t>CA-2019-126760</t>
  </si>
  <si>
    <t>CA-2019-116190</t>
  </si>
  <si>
    <t>CA-2019-152296</t>
  </si>
  <si>
    <t>CA-2019-125612</t>
  </si>
  <si>
    <t>CA-2019-166716</t>
  </si>
  <si>
    <t>US-2019-166828</t>
  </si>
  <si>
    <t>CA-2019-124737</t>
  </si>
  <si>
    <t>CA-2019-103660</t>
  </si>
  <si>
    <t>CA-2019-109855</t>
  </si>
  <si>
    <t>CA-2019-132962</t>
  </si>
  <si>
    <t>CA-2019-142769</t>
  </si>
  <si>
    <t>CA-2019-160766</t>
  </si>
  <si>
    <t>CA-2019-131947</t>
  </si>
  <si>
    <t>CA-2019-125997</t>
  </si>
  <si>
    <t>CA-2019-168823</t>
  </si>
  <si>
    <t>CA-2019-116904</t>
  </si>
  <si>
    <t>CA-2019-113964</t>
  </si>
  <si>
    <t>CA-2019-108189</t>
  </si>
  <si>
    <t>CA-2019-110408</t>
  </si>
  <si>
    <t>CA-2019-148285</t>
  </si>
  <si>
    <t>CA-2019-114195</t>
  </si>
  <si>
    <t>CA-2019-121573</t>
  </si>
  <si>
    <t>CA-2019-123498</t>
  </si>
  <si>
    <t>CA-2019-128524</t>
  </si>
  <si>
    <t>CA-2019-101833</t>
  </si>
  <si>
    <t>CA-2019-133809</t>
  </si>
  <si>
    <t>CA-2019-129091</t>
  </si>
  <si>
    <t>CA-2019-127131</t>
  </si>
  <si>
    <t>CA-2019-124730</t>
  </si>
  <si>
    <t>CA-2019-105249</t>
  </si>
  <si>
    <t>CA-2019-154095</t>
  </si>
  <si>
    <t>CA-2019-164861</t>
  </si>
  <si>
    <t>CA-2019-144071</t>
  </si>
  <si>
    <t>US-2019-112991</t>
  </si>
  <si>
    <t>CA-2019-141607</t>
  </si>
  <si>
    <t>CA-2019-153913</t>
  </si>
  <si>
    <t>CA-2019-139598</t>
  </si>
  <si>
    <t>CA-2019-162866</t>
  </si>
  <si>
    <t>CA-2019-166961</t>
  </si>
  <si>
    <t>CA-2019-141313</t>
  </si>
  <si>
    <t>CA-2019-102330</t>
  </si>
  <si>
    <t>US-2019-143231</t>
  </si>
  <si>
    <t>US-2019-133949</t>
  </si>
  <si>
    <t>CA-2019-157644</t>
  </si>
  <si>
    <t>CA-2020-119480</t>
  </si>
  <si>
    <t>US-2020-147662</t>
  </si>
  <si>
    <t>CA-2020-105725</t>
  </si>
  <si>
    <t>US-2020-145436</t>
  </si>
  <si>
    <t>CA-2020-146255</t>
  </si>
  <si>
    <t>CA-2020-132136</t>
  </si>
  <si>
    <t>CA-2020-146829</t>
  </si>
  <si>
    <t>CA-2020-114237</t>
  </si>
  <si>
    <t>CA-2020-144722</t>
  </si>
  <si>
    <t>US-2020-122140</t>
  </si>
  <si>
    <t>US-2020-159513</t>
  </si>
  <si>
    <t>CA-2020-167010</t>
  </si>
  <si>
    <t>CA-2020-100888</t>
  </si>
  <si>
    <t>CA-2020-130554</t>
  </si>
  <si>
    <t>CA-2020-168767</t>
  </si>
  <si>
    <t>CA-2020-116841</t>
  </si>
  <si>
    <t>CA-2020-107678</t>
  </si>
  <si>
    <t>CA-2020-137302</t>
  </si>
  <si>
    <t>US-2020-122910</t>
  </si>
  <si>
    <t>CA-2020-100146</t>
  </si>
  <si>
    <t>CA-2020-149846</t>
  </si>
  <si>
    <t>US-2020-110569</t>
  </si>
  <si>
    <t>CA-2020-131758</t>
  </si>
  <si>
    <t>CA-2020-111339</t>
  </si>
  <si>
    <t>CA-2020-133627</t>
  </si>
  <si>
    <t>CA-2020-156153</t>
  </si>
  <si>
    <t>CA-2020-100818</t>
  </si>
  <si>
    <t>CA-2020-121720</t>
  </si>
  <si>
    <t>CA-2020-121965</t>
  </si>
  <si>
    <t>CA-2020-127110</t>
  </si>
  <si>
    <t>CA-2020-166583</t>
  </si>
  <si>
    <t>CA-2020-113404</t>
  </si>
  <si>
    <t>CA-2020-159590</t>
  </si>
  <si>
    <t>CA-2020-120810</t>
  </si>
  <si>
    <t>CA-2020-155334</t>
  </si>
  <si>
    <t>US-2020-128090</t>
  </si>
  <si>
    <t>CA-2020-144267</t>
  </si>
  <si>
    <t>CA-2020-101707</t>
  </si>
  <si>
    <t>CA-2020-121188</t>
  </si>
  <si>
    <t>US-2020-104185</t>
  </si>
  <si>
    <t>CA-2020-135510</t>
  </si>
  <si>
    <t>CA-2020-140984</t>
  </si>
  <si>
    <t>CA-2020-105102</t>
  </si>
  <si>
    <t>CA-2020-115847</t>
  </si>
  <si>
    <t>CA-2020-147816</t>
  </si>
  <si>
    <t>CA-2020-130883</t>
  </si>
  <si>
    <t>CA-2020-120341</t>
  </si>
  <si>
    <t>CA-2020-167255</t>
  </si>
  <si>
    <t>CA-2020-120915</t>
  </si>
  <si>
    <t>CA-2020-148873</t>
  </si>
  <si>
    <t>US-2020-157014</t>
  </si>
  <si>
    <t>CA-2020-151722</t>
  </si>
  <si>
    <t>CA-2020-142993</t>
  </si>
  <si>
    <t>CA-2020-152527</t>
  </si>
  <si>
    <t>CA-2020-152891</t>
  </si>
  <si>
    <t>US-2020-131359</t>
  </si>
  <si>
    <t>CA-2020-132570</t>
  </si>
  <si>
    <t>CA-2020-113145</t>
  </si>
  <si>
    <t>CA-2020-168207</t>
  </si>
  <si>
    <t>CA-2020-140410</t>
  </si>
  <si>
    <t>CA-2020-111948</t>
  </si>
  <si>
    <t>CA-2020-113173</t>
  </si>
  <si>
    <t>CA-2020-138954</t>
  </si>
  <si>
    <t>CA-2020-109337</t>
  </si>
  <si>
    <t>US-2020-159499</t>
  </si>
  <si>
    <t>CA-2020-130974</t>
  </si>
  <si>
    <t>CA-2020-138009</t>
  </si>
  <si>
    <t>CA-2020-148628</t>
  </si>
  <si>
    <t>CA-2020-135622</t>
  </si>
  <si>
    <t>US-2020-138093</t>
  </si>
  <si>
    <t>CA-2020-127502</t>
  </si>
  <si>
    <t>CA-2020-145065</t>
  </si>
  <si>
    <t>CA-2020-127481</t>
  </si>
  <si>
    <t>CA-2020-141593</t>
  </si>
  <si>
    <t>CA-2020-109638</t>
  </si>
  <si>
    <t>US-2020-123218</t>
  </si>
  <si>
    <t>CA-2020-154284</t>
  </si>
  <si>
    <t>CA-2020-109470</t>
  </si>
  <si>
    <t>CA-2021-134474</t>
  </si>
  <si>
    <t>CA-2021-133368</t>
  </si>
  <si>
    <t>CA-2021-146318</t>
  </si>
  <si>
    <t>CA-2021-146437</t>
  </si>
  <si>
    <t>CA-2021-158841</t>
  </si>
  <si>
    <t>CA-2021-108105</t>
  </si>
  <si>
    <t>CA-2021-112123</t>
  </si>
  <si>
    <t>US-2021-108637</t>
  </si>
  <si>
    <t>CA-2021-150889</t>
  </si>
  <si>
    <t>CA-2021-128517</t>
  </si>
  <si>
    <t>CA-2021-129280</t>
  </si>
  <si>
    <t>CA-2021-137393</t>
  </si>
  <si>
    <t>CA-2021-109176</t>
  </si>
  <si>
    <t>CA-2021-161543</t>
  </si>
  <si>
    <t>CA-2021-148852</t>
  </si>
  <si>
    <t>CA-2021-101791</t>
  </si>
  <si>
    <t>US-2021-167472</t>
  </si>
  <si>
    <t>CA-2021-131744</t>
  </si>
  <si>
    <t>CA-2021-105760</t>
  </si>
  <si>
    <t>CA-2021-154767</t>
  </si>
  <si>
    <t>CA-2021-102813</t>
  </si>
  <si>
    <t>CA-2021-130029</t>
  </si>
  <si>
    <t>CA-2021-156685</t>
  </si>
  <si>
    <t>CA-2021-157161</t>
  </si>
  <si>
    <t>CA-2021-116603</t>
  </si>
  <si>
    <t>CA-2021-137939</t>
  </si>
  <si>
    <t>CA-2021-141957</t>
  </si>
  <si>
    <t>US-2021-111290</t>
  </si>
  <si>
    <t>CA-2021-165316</t>
  </si>
  <si>
    <t>CA-2021-149454</t>
  </si>
  <si>
    <t>CA-2021-128671</t>
  </si>
  <si>
    <t>CA-2021-118073</t>
  </si>
  <si>
    <t>CA-2021-105459</t>
  </si>
  <si>
    <t>CA-2021-136021</t>
  </si>
  <si>
    <t>CA-2021-113551</t>
  </si>
  <si>
    <t>US-2021-146710</t>
  </si>
  <si>
    <t>CA-2021-151561</t>
  </si>
  <si>
    <t>CA-2021-144764</t>
  </si>
  <si>
    <t>CA-2021-110366</t>
  </si>
  <si>
    <t>CA-2021-149195</t>
  </si>
  <si>
    <t>US-2021-115455</t>
  </si>
  <si>
    <t>CA-2021-153101</t>
  </si>
  <si>
    <t>US-2021-128678</t>
  </si>
  <si>
    <t>CA-2021-158617</t>
  </si>
  <si>
    <t>US-2021-125402</t>
  </si>
  <si>
    <t>CA-2021-145898</t>
  </si>
  <si>
    <t>CA-2021-118689</t>
  </si>
  <si>
    <t>CA-2021-101672</t>
  </si>
  <si>
    <t>CA-2021-138478</t>
  </si>
  <si>
    <t>CA-2021-116596</t>
  </si>
  <si>
    <t>CA-2021-144344</t>
  </si>
  <si>
    <t>CA-2021-146682</t>
  </si>
  <si>
    <t>CA-2021-159212</t>
  </si>
  <si>
    <t>CA-2021-128867</t>
  </si>
  <si>
    <t>CA-2021-109365</t>
  </si>
  <si>
    <t>CA-2021-119935</t>
  </si>
  <si>
    <t>CA-2021-145548</t>
  </si>
  <si>
    <t>CA-2021-131065</t>
  </si>
  <si>
    <t>US-2021-117541</t>
  </si>
  <si>
    <t>CA-2021-100041</t>
  </si>
  <si>
    <t>CA-2021-154711</t>
  </si>
  <si>
    <t>CA-2021-169838</t>
  </si>
  <si>
    <t>US-2021-113985</t>
  </si>
  <si>
    <t>US-2021-155103</t>
  </si>
  <si>
    <t>CA-2021-105354</t>
  </si>
  <si>
    <t>CA-2021-112060</t>
  </si>
  <si>
    <t>CA-2021-162390</t>
  </si>
  <si>
    <t>CA-2021-102092</t>
  </si>
  <si>
    <t>CA-2021-146941</t>
  </si>
  <si>
    <t>US-2021-135720</t>
  </si>
  <si>
    <t>CA-2021-139395</t>
  </si>
  <si>
    <t>CA-2021-145261</t>
  </si>
  <si>
    <t>US-2021-157840</t>
  </si>
  <si>
    <t>CA-2021-115574</t>
  </si>
  <si>
    <t>CA-2021-105081</t>
  </si>
  <si>
    <t>CA-2022-127306</t>
  </si>
  <si>
    <t>CA-2022-167752</t>
  </si>
  <si>
    <t>CA-2022-152961</t>
  </si>
  <si>
    <t>CA-2022-118773</t>
  </si>
  <si>
    <t>CA-2022-154039</t>
  </si>
  <si>
    <t>CA-2022-132647</t>
  </si>
  <si>
    <t>CA-2022-127397</t>
  </si>
  <si>
    <t>US-2022-119816</t>
  </si>
  <si>
    <t>CA-2022-155698</t>
  </si>
  <si>
    <t>CA-2022-144638</t>
  </si>
  <si>
    <t>CA-2022-117156</t>
  </si>
  <si>
    <t>CA-2022-167101</t>
  </si>
  <si>
    <t>US-2022-117534</t>
  </si>
  <si>
    <t>CA-2022-129910</t>
  </si>
  <si>
    <t>US-2022-160143</t>
  </si>
  <si>
    <t>CA-2022-107265</t>
  </si>
  <si>
    <t>CA-2022-122154</t>
  </si>
  <si>
    <t>CA-2022-130904</t>
  </si>
  <si>
    <t>CA-2022-159604</t>
  </si>
  <si>
    <t>CA-2022-169054</t>
  </si>
  <si>
    <t>CA-2022-133865</t>
  </si>
  <si>
    <t>CA-2022-134810</t>
  </si>
  <si>
    <t>CA-2022-118199</t>
  </si>
  <si>
    <t>CA-2022-122175</t>
  </si>
  <si>
    <t>US-2022-133361</t>
  </si>
  <si>
    <t>CA-2022-155642</t>
  </si>
  <si>
    <t>CA-2022-164042</t>
  </si>
  <si>
    <t>CA-2022-121580</t>
  </si>
  <si>
    <t>CA-2022-134565</t>
  </si>
  <si>
    <t>CA-2022-108441</t>
  </si>
  <si>
    <t>CA-2022-124191</t>
  </si>
  <si>
    <t>CA-2022-169691</t>
  </si>
  <si>
    <t>CA-2022-128944</t>
  </si>
  <si>
    <t>CA-2022-137085</t>
  </si>
  <si>
    <t>US-2022-111024</t>
  </si>
  <si>
    <t>CA-2022-168109</t>
  </si>
  <si>
    <t>CA-2022-108560</t>
  </si>
  <si>
    <t>CA-2022-115651</t>
  </si>
  <si>
    <t>US-2022-142573</t>
  </si>
  <si>
    <t>US-2022-108343</t>
  </si>
  <si>
    <t>CA-2022-133235</t>
  </si>
  <si>
    <t>CA-2022-168396</t>
  </si>
  <si>
    <t>CA-2022-128328</t>
  </si>
  <si>
    <t>CA-2022-156776</t>
  </si>
  <si>
    <t>US-2022-118941</t>
  </si>
  <si>
    <t>US-2022-114356</t>
  </si>
  <si>
    <t>CA-2022-126067</t>
  </si>
  <si>
    <t>CA-2022-159884</t>
  </si>
  <si>
    <t>CA-2022-137596</t>
  </si>
  <si>
    <t>CA-2022-101182</t>
  </si>
  <si>
    <t>CA-2022-107293</t>
  </si>
  <si>
    <t>CA-2022-128783</t>
  </si>
  <si>
    <t>US-2022-130687</t>
  </si>
  <si>
    <t>CA-2022-158036</t>
  </si>
  <si>
    <t>CA-2022-137498</t>
  </si>
  <si>
    <t>CA-2022-110905</t>
  </si>
  <si>
    <t>CA-2022-124898</t>
  </si>
  <si>
    <t>CA-2022-127726</t>
  </si>
  <si>
    <t>CA-2022-140676</t>
  </si>
  <si>
    <t>CA-2022-121888</t>
  </si>
  <si>
    <t>CA-2022-144113</t>
  </si>
  <si>
    <t>CA-2022-112984</t>
  </si>
  <si>
    <t>CA-2022-140508</t>
  </si>
  <si>
    <t>CA-2022-143378</t>
  </si>
  <si>
    <t>CA-2022-102974</t>
  </si>
  <si>
    <t>CA-2022-133074</t>
  </si>
  <si>
    <t>CA-2022-121300</t>
  </si>
  <si>
    <t>CA-2022-105914</t>
  </si>
  <si>
    <t>CA-2022-104003</t>
  </si>
  <si>
    <t>CA-2022-126536</t>
  </si>
  <si>
    <t>CA-2022-158386</t>
  </si>
  <si>
    <t>CA-2022-106432</t>
  </si>
  <si>
    <t>CA-2022-101581</t>
  </si>
  <si>
    <t>CA-2022-139913</t>
  </si>
  <si>
    <t>CA-2022-116358</t>
  </si>
  <si>
    <t>CA-2022-142636</t>
  </si>
  <si>
    <t>US-2022-101518</t>
  </si>
  <si>
    <t>CA-2022-135419</t>
  </si>
  <si>
    <t>CA-2022-102925</t>
  </si>
  <si>
    <t>CA-2022-144596</t>
  </si>
  <si>
    <t>CA-2022-122504</t>
  </si>
  <si>
    <t>CA-2022-159667</t>
  </si>
  <si>
    <t>US-2022-114657</t>
  </si>
  <si>
    <t>CA-2022-104913</t>
  </si>
  <si>
    <t>CA-2022-160122</t>
  </si>
  <si>
    <t>CA-2022-112529</t>
  </si>
  <si>
    <t>CA-2022-156622</t>
  </si>
  <si>
    <t>CA-2022-102519</t>
  </si>
  <si>
    <t>CA-2022-159506</t>
  </si>
  <si>
    <t>CA-2022-108035</t>
  </si>
  <si>
    <t>CA-2022-135860</t>
  </si>
  <si>
    <t>CA-2022-122539</t>
  </si>
  <si>
    <t>CA-2022-109701</t>
  </si>
  <si>
    <t>CA-2022-155089</t>
  </si>
  <si>
    <t>CA-2022-130351</t>
  </si>
  <si>
    <t>US-2022-136189</t>
  </si>
  <si>
    <t>CA-2022-108329</t>
  </si>
  <si>
    <t>CA-2022-102407</t>
  </si>
  <si>
    <t>CA-2022-148922</t>
  </si>
  <si>
    <t>CA-2022-107986</t>
  </si>
  <si>
    <t>CA-2022-135377</t>
  </si>
  <si>
    <t>CA-2022-115602</t>
  </si>
  <si>
    <t>CA-2022-146164</t>
  </si>
  <si>
    <t>CA-2022-150910</t>
  </si>
  <si>
    <t>CA-2022-114055</t>
  </si>
  <si>
    <t>CA-2022-105620</t>
  </si>
  <si>
    <t>CA-2022-134404</t>
  </si>
  <si>
    <t>CA-2022-163860</t>
  </si>
  <si>
    <t>CA-2022-156720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</si>
</sst>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4A3D-A052-4D1F-A7A7-845929BF94EE}">
  <dimension ref="A1:D338"/>
  <sheetViews>
    <sheetView tabSelected="1" workbookViewId="0">
      <selection activeCell="E10" sqref="E10"/>
    </sheetView>
  </sheetViews>
  <sheetFormatPr defaultRowHeight="15" x14ac:dyDescent="0.25"/>
  <cols>
    <col min="1" max="1" width="18.5703125" customWidth="1"/>
    <col min="2" max="2" width="15.28515625" customWidth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>
        <f>41672+(365*5)</f>
        <v>43497</v>
      </c>
      <c r="C2" t="b">
        <v>1</v>
      </c>
    </row>
    <row r="3" spans="1:3" x14ac:dyDescent="0.25">
      <c r="A3" s="3" t="s">
        <v>4</v>
      </c>
      <c r="B3" s="4">
        <f>41674+(365*5)</f>
        <v>43499</v>
      </c>
      <c r="C3" t="b">
        <v>1</v>
      </c>
    </row>
    <row r="4" spans="1:3" x14ac:dyDescent="0.25">
      <c r="A4" s="3" t="s">
        <v>5</v>
      </c>
      <c r="B4" s="4">
        <f>41674+(365*5)</f>
        <v>43499</v>
      </c>
      <c r="C4" t="b">
        <v>1</v>
      </c>
    </row>
    <row r="5" spans="1:3" x14ac:dyDescent="0.25">
      <c r="A5" s="3" t="s">
        <v>6</v>
      </c>
      <c r="B5" s="4">
        <f>41686+(365*5)</f>
        <v>43511</v>
      </c>
      <c r="C5" t="b">
        <v>1</v>
      </c>
    </row>
    <row r="6" spans="1:3" x14ac:dyDescent="0.25">
      <c r="A6" s="3" t="s">
        <v>7</v>
      </c>
      <c r="B6" s="4">
        <f t="shared" ref="B6" si="0">41705+(365*5)</f>
        <v>43530</v>
      </c>
      <c r="C6" t="b">
        <v>1</v>
      </c>
    </row>
    <row r="7" spans="1:3" x14ac:dyDescent="0.25">
      <c r="A7" s="3" t="s">
        <v>8</v>
      </c>
      <c r="B7" s="4">
        <f t="shared" ref="B7" si="1">41709+(365*5)</f>
        <v>43534</v>
      </c>
      <c r="C7" t="b">
        <v>1</v>
      </c>
    </row>
    <row r="8" spans="1:3" x14ac:dyDescent="0.25">
      <c r="A8" s="3" t="s">
        <v>9</v>
      </c>
      <c r="B8" s="4">
        <f>41713+(365*5)</f>
        <v>43538</v>
      </c>
      <c r="C8" t="b">
        <v>1</v>
      </c>
    </row>
    <row r="9" spans="1:3" x14ac:dyDescent="0.25">
      <c r="A9" s="3" t="s">
        <v>10</v>
      </c>
      <c r="B9" s="4">
        <f t="shared" ref="B9" si="2">41719+(365*5)</f>
        <v>43544</v>
      </c>
      <c r="C9" t="b">
        <v>1</v>
      </c>
    </row>
    <row r="10" spans="1:3" x14ac:dyDescent="0.25">
      <c r="A10" s="3" t="s">
        <v>11</v>
      </c>
      <c r="B10" s="4">
        <f>41723+(365*5)</f>
        <v>43548</v>
      </c>
      <c r="C10" t="b">
        <v>1</v>
      </c>
    </row>
    <row r="11" spans="1:3" x14ac:dyDescent="0.25">
      <c r="A11" s="3" t="s">
        <v>12</v>
      </c>
      <c r="B11" s="4">
        <f>41723+(365*5)</f>
        <v>43548</v>
      </c>
      <c r="C11" t="b">
        <v>1</v>
      </c>
    </row>
    <row r="12" spans="1:3" x14ac:dyDescent="0.25">
      <c r="A12" s="3" t="s">
        <v>13</v>
      </c>
      <c r="B12" s="4">
        <f t="shared" ref="B12" si="3">41740+(365*5)</f>
        <v>43565</v>
      </c>
      <c r="C12" t="b">
        <v>1</v>
      </c>
    </row>
    <row r="13" spans="1:3" x14ac:dyDescent="0.25">
      <c r="A13" s="3" t="s">
        <v>14</v>
      </c>
      <c r="B13" s="4">
        <f>41759+(365*5)</f>
        <v>43584</v>
      </c>
      <c r="C13" t="b">
        <v>1</v>
      </c>
    </row>
    <row r="14" spans="1:3" x14ac:dyDescent="0.25">
      <c r="A14" s="3" t="s">
        <v>15</v>
      </c>
      <c r="B14" s="4">
        <f>41762+(365*5)</f>
        <v>43587</v>
      </c>
      <c r="C14" t="b">
        <v>1</v>
      </c>
    </row>
    <row r="15" spans="1:3" x14ac:dyDescent="0.25">
      <c r="A15" s="3" t="s">
        <v>16</v>
      </c>
      <c r="B15" s="4">
        <f t="shared" ref="B15" si="4">41769+(365*5)</f>
        <v>43594</v>
      </c>
      <c r="C15" t="b">
        <v>1</v>
      </c>
    </row>
    <row r="16" spans="1:3" x14ac:dyDescent="0.25">
      <c r="A16" s="3" t="s">
        <v>17</v>
      </c>
      <c r="B16" s="4">
        <f t="shared" ref="B16" si="5">41780+(365*5)</f>
        <v>43605</v>
      </c>
      <c r="C16" t="b">
        <v>1</v>
      </c>
    </row>
    <row r="17" spans="1:3" x14ac:dyDescent="0.25">
      <c r="A17" s="3" t="s">
        <v>18</v>
      </c>
      <c r="B17" s="4">
        <f>41786+(365*5)</f>
        <v>43611</v>
      </c>
      <c r="C17" t="b">
        <v>1</v>
      </c>
    </row>
    <row r="18" spans="1:3" x14ac:dyDescent="0.25">
      <c r="A18" s="3" t="s">
        <v>19</v>
      </c>
      <c r="B18" s="4">
        <f>41793+(365*5)</f>
        <v>43618</v>
      </c>
      <c r="C18" t="b">
        <v>1</v>
      </c>
    </row>
    <row r="19" spans="1:3" x14ac:dyDescent="0.25">
      <c r="A19" s="3" t="s">
        <v>20</v>
      </c>
      <c r="B19" s="4">
        <f>41805+(365*5)</f>
        <v>43630</v>
      </c>
      <c r="C19" t="b">
        <v>1</v>
      </c>
    </row>
    <row r="20" spans="1:3" x14ac:dyDescent="0.25">
      <c r="A20" s="3" t="s">
        <v>21</v>
      </c>
      <c r="B20" s="4">
        <f t="shared" ref="B20" si="6">41820+(365*5)</f>
        <v>43645</v>
      </c>
      <c r="C20" t="b">
        <v>1</v>
      </c>
    </row>
    <row r="21" spans="1:3" x14ac:dyDescent="0.25">
      <c r="A21" s="3" t="s">
        <v>22</v>
      </c>
      <c r="B21" s="4">
        <f t="shared" ref="B21" si="7">41829+(365*5)</f>
        <v>43654</v>
      </c>
      <c r="C21" t="b">
        <v>1</v>
      </c>
    </row>
    <row r="22" spans="1:3" x14ac:dyDescent="0.25">
      <c r="A22" s="3" t="s">
        <v>23</v>
      </c>
      <c r="B22" s="4">
        <f t="shared" ref="B22" si="8">41831+(365*5)</f>
        <v>43656</v>
      </c>
      <c r="C22" t="b">
        <v>1</v>
      </c>
    </row>
    <row r="23" spans="1:3" x14ac:dyDescent="0.25">
      <c r="A23" s="3" t="s">
        <v>24</v>
      </c>
      <c r="B23" s="4">
        <f t="shared" ref="B23" si="9">41840+(365*5)</f>
        <v>43665</v>
      </c>
      <c r="C23" t="b">
        <v>1</v>
      </c>
    </row>
    <row r="24" spans="1:3" x14ac:dyDescent="0.25">
      <c r="A24" s="3" t="s">
        <v>25</v>
      </c>
      <c r="B24" s="4">
        <f>41845+(365*5)</f>
        <v>43670</v>
      </c>
      <c r="C24" t="b">
        <v>1</v>
      </c>
    </row>
    <row r="25" spans="1:3" x14ac:dyDescent="0.25">
      <c r="A25" s="3" t="s">
        <v>26</v>
      </c>
      <c r="B25" s="4">
        <f t="shared" ref="B25:B26" si="10">41846+(365*5)</f>
        <v>43671</v>
      </c>
      <c r="C25" t="b">
        <v>1</v>
      </c>
    </row>
    <row r="26" spans="1:3" x14ac:dyDescent="0.25">
      <c r="A26" s="3" t="s">
        <v>27</v>
      </c>
      <c r="B26" s="4">
        <f t="shared" si="10"/>
        <v>43671</v>
      </c>
      <c r="C26" t="b">
        <v>1</v>
      </c>
    </row>
    <row r="27" spans="1:3" x14ac:dyDescent="0.25">
      <c r="A27" s="3" t="s">
        <v>28</v>
      </c>
      <c r="B27" s="4">
        <f t="shared" ref="B27" si="11">41852+(365*5)</f>
        <v>43677</v>
      </c>
      <c r="C27" t="b">
        <v>1</v>
      </c>
    </row>
    <row r="28" spans="1:3" x14ac:dyDescent="0.25">
      <c r="A28" s="3" t="s">
        <v>29</v>
      </c>
      <c r="B28" s="4">
        <f t="shared" ref="B28:B29" si="12">41854+(365*5)</f>
        <v>43679</v>
      </c>
      <c r="C28" t="b">
        <v>1</v>
      </c>
    </row>
    <row r="29" spans="1:3" x14ac:dyDescent="0.25">
      <c r="A29" s="3" t="s">
        <v>30</v>
      </c>
      <c r="B29" s="4">
        <f t="shared" si="12"/>
        <v>43679</v>
      </c>
      <c r="C29" t="b">
        <v>1</v>
      </c>
    </row>
    <row r="30" spans="1:3" x14ac:dyDescent="0.25">
      <c r="A30" s="3" t="s">
        <v>31</v>
      </c>
      <c r="B30" s="4">
        <f>41871+(365*5)</f>
        <v>43696</v>
      </c>
      <c r="C30" t="b">
        <v>1</v>
      </c>
    </row>
    <row r="31" spans="1:3" x14ac:dyDescent="0.25">
      <c r="A31" s="3" t="s">
        <v>32</v>
      </c>
      <c r="B31" s="4">
        <f>41873+(365*5)</f>
        <v>43698</v>
      </c>
      <c r="C31" t="b">
        <v>1</v>
      </c>
    </row>
    <row r="32" spans="1:3" x14ac:dyDescent="0.25">
      <c r="A32" s="3" t="s">
        <v>33</v>
      </c>
      <c r="B32" s="4">
        <f t="shared" ref="B32" si="13">41874+(365*5)</f>
        <v>43699</v>
      </c>
      <c r="C32" t="b">
        <v>1</v>
      </c>
    </row>
    <row r="33" spans="1:3" x14ac:dyDescent="0.25">
      <c r="A33" s="3" t="s">
        <v>34</v>
      </c>
      <c r="B33" s="4">
        <f t="shared" ref="B33" si="14">41876+(365*5)</f>
        <v>43701</v>
      </c>
      <c r="C33" t="b">
        <v>1</v>
      </c>
    </row>
    <row r="34" spans="1:3" x14ac:dyDescent="0.25">
      <c r="A34" s="3" t="s">
        <v>35</v>
      </c>
      <c r="B34" s="4">
        <f>41883+(365*5)</f>
        <v>43708</v>
      </c>
      <c r="C34" t="b">
        <v>1</v>
      </c>
    </row>
    <row r="35" spans="1:3" x14ac:dyDescent="0.25">
      <c r="A35" s="3" t="s">
        <v>36</v>
      </c>
      <c r="B35" s="4">
        <f t="shared" ref="B35:B36" si="15">41895+(365*5)</f>
        <v>43720</v>
      </c>
      <c r="C35" t="b">
        <v>1</v>
      </c>
    </row>
    <row r="36" spans="1:3" x14ac:dyDescent="0.25">
      <c r="A36" s="3" t="s">
        <v>37</v>
      </c>
      <c r="B36" s="4">
        <f t="shared" si="15"/>
        <v>43720</v>
      </c>
      <c r="C36" t="b">
        <v>1</v>
      </c>
    </row>
    <row r="37" spans="1:3" x14ac:dyDescent="0.25">
      <c r="A37" s="3" t="s">
        <v>38</v>
      </c>
      <c r="B37" s="4">
        <f t="shared" ref="B37" si="16">41896+(365*5)</f>
        <v>43721</v>
      </c>
      <c r="C37" t="b">
        <v>1</v>
      </c>
    </row>
    <row r="38" spans="1:3" x14ac:dyDescent="0.25">
      <c r="A38" s="3" t="s">
        <v>39</v>
      </c>
      <c r="B38" s="4">
        <f t="shared" ref="B38" si="17">41899+(365*5)</f>
        <v>43724</v>
      </c>
      <c r="C38" t="b">
        <v>1</v>
      </c>
    </row>
    <row r="39" spans="1:3" x14ac:dyDescent="0.25">
      <c r="A39" s="3" t="s">
        <v>40</v>
      </c>
      <c r="B39" s="4">
        <f t="shared" ref="B39" si="18">41902+(365*5)</f>
        <v>43727</v>
      </c>
      <c r="C39" t="b">
        <v>1</v>
      </c>
    </row>
    <row r="40" spans="1:3" x14ac:dyDescent="0.25">
      <c r="A40" s="3" t="s">
        <v>41</v>
      </c>
      <c r="B40" s="4">
        <f t="shared" ref="B40" si="19">41903+(365*5)</f>
        <v>43728</v>
      </c>
      <c r="C40" t="b">
        <v>1</v>
      </c>
    </row>
    <row r="41" spans="1:3" x14ac:dyDescent="0.25">
      <c r="A41" s="3" t="s">
        <v>42</v>
      </c>
      <c r="B41" s="4">
        <f t="shared" ref="B41:B42" si="20">41905+(365*5)</f>
        <v>43730</v>
      </c>
      <c r="C41" t="b">
        <v>1</v>
      </c>
    </row>
    <row r="42" spans="1:3" x14ac:dyDescent="0.25">
      <c r="A42" s="3" t="s">
        <v>43</v>
      </c>
      <c r="B42" s="4">
        <f t="shared" si="20"/>
        <v>43730</v>
      </c>
      <c r="C42" t="b">
        <v>1</v>
      </c>
    </row>
    <row r="43" spans="1:3" x14ac:dyDescent="0.25">
      <c r="A43" s="3" t="s">
        <v>44</v>
      </c>
      <c r="B43" s="4">
        <f t="shared" ref="B43" si="21">41914+(365*5)</f>
        <v>43739</v>
      </c>
      <c r="C43" t="b">
        <v>1</v>
      </c>
    </row>
    <row r="44" spans="1:3" x14ac:dyDescent="0.25">
      <c r="A44" s="3" t="s">
        <v>45</v>
      </c>
      <c r="B44" s="4">
        <f t="shared" ref="B44" si="22">41930+(365*5)</f>
        <v>43755</v>
      </c>
      <c r="C44" t="b">
        <v>1</v>
      </c>
    </row>
    <row r="45" spans="1:3" x14ac:dyDescent="0.25">
      <c r="A45" s="3" t="s">
        <v>46</v>
      </c>
      <c r="B45" s="4">
        <f>41939+(365*5)</f>
        <v>43764</v>
      </c>
      <c r="C45" t="b">
        <v>1</v>
      </c>
    </row>
    <row r="46" spans="1:3" x14ac:dyDescent="0.25">
      <c r="A46" s="3" t="s">
        <v>47</v>
      </c>
      <c r="B46" s="4">
        <f t="shared" ref="B46" si="23">41944+(365*5)</f>
        <v>43769</v>
      </c>
      <c r="C46" t="b">
        <v>1</v>
      </c>
    </row>
    <row r="47" spans="1:3" x14ac:dyDescent="0.25">
      <c r="A47" s="3" t="s">
        <v>48</v>
      </c>
      <c r="B47" s="4">
        <f t="shared" ref="B47:B48" si="24">41946+(365*5)</f>
        <v>43771</v>
      </c>
      <c r="C47" t="b">
        <v>1</v>
      </c>
    </row>
    <row r="48" spans="1:3" x14ac:dyDescent="0.25">
      <c r="A48" s="3" t="s">
        <v>49</v>
      </c>
      <c r="B48" s="4">
        <f t="shared" si="24"/>
        <v>43771</v>
      </c>
      <c r="C48" t="b">
        <v>1</v>
      </c>
    </row>
    <row r="49" spans="1:3" x14ac:dyDescent="0.25">
      <c r="A49" s="3" t="s">
        <v>50</v>
      </c>
      <c r="B49" s="4">
        <f t="shared" ref="B49" si="25">41950+(365*5)</f>
        <v>43775</v>
      </c>
      <c r="C49" t="b">
        <v>1</v>
      </c>
    </row>
    <row r="50" spans="1:3" x14ac:dyDescent="0.25">
      <c r="A50" s="3" t="s">
        <v>51</v>
      </c>
      <c r="B50" s="4">
        <f t="shared" ref="B50" si="26">41954+(365*5)</f>
        <v>43779</v>
      </c>
      <c r="C50" t="b">
        <v>1</v>
      </c>
    </row>
    <row r="51" spans="1:3" x14ac:dyDescent="0.25">
      <c r="A51" s="3" t="s">
        <v>52</v>
      </c>
      <c r="B51" s="4">
        <f t="shared" ref="B51" si="27">41960+(365*5)</f>
        <v>43785</v>
      </c>
      <c r="C51" t="b">
        <v>1</v>
      </c>
    </row>
    <row r="52" spans="1:3" x14ac:dyDescent="0.25">
      <c r="A52" s="3" t="s">
        <v>53</v>
      </c>
      <c r="B52" s="4">
        <f t="shared" ref="B52" si="28">41961+(365*5)</f>
        <v>43786</v>
      </c>
      <c r="C52" t="b">
        <v>1</v>
      </c>
    </row>
    <row r="53" spans="1:3" x14ac:dyDescent="0.25">
      <c r="A53" s="3" t="s">
        <v>54</v>
      </c>
      <c r="B53" s="4">
        <f t="shared" ref="B53" si="29">41965+(365*5)</f>
        <v>43790</v>
      </c>
      <c r="C53" t="b">
        <v>1</v>
      </c>
    </row>
    <row r="54" spans="1:3" x14ac:dyDescent="0.25">
      <c r="A54" s="3" t="s">
        <v>55</v>
      </c>
      <c r="B54" s="4">
        <f t="shared" ref="B54" si="30">41967+(365*5)</f>
        <v>43792</v>
      </c>
      <c r="C54" t="b">
        <v>1</v>
      </c>
    </row>
    <row r="55" spans="1:3" x14ac:dyDescent="0.25">
      <c r="A55" s="3" t="s">
        <v>56</v>
      </c>
      <c r="B55" s="4">
        <f t="shared" ref="B55" si="31">41969+(365*5)</f>
        <v>43794</v>
      </c>
      <c r="C55" t="b">
        <v>1</v>
      </c>
    </row>
    <row r="56" spans="1:3" x14ac:dyDescent="0.25">
      <c r="A56" s="3" t="s">
        <v>57</v>
      </c>
      <c r="B56" s="4">
        <f t="shared" ref="B56" si="32">41971+(365*5)</f>
        <v>43796</v>
      </c>
      <c r="C56" t="b">
        <v>1</v>
      </c>
    </row>
    <row r="57" spans="1:3" x14ac:dyDescent="0.25">
      <c r="A57" s="3" t="s">
        <v>58</v>
      </c>
      <c r="B57" s="4">
        <f t="shared" ref="B57" si="33">41975+(365*5)</f>
        <v>43800</v>
      </c>
      <c r="C57" t="b">
        <v>1</v>
      </c>
    </row>
    <row r="58" spans="1:3" x14ac:dyDescent="0.25">
      <c r="A58" s="3" t="s">
        <v>59</v>
      </c>
      <c r="B58" s="4">
        <f>41976+(365*5)</f>
        <v>43801</v>
      </c>
      <c r="C58" t="b">
        <v>1</v>
      </c>
    </row>
    <row r="59" spans="1:3" x14ac:dyDescent="0.25">
      <c r="A59" s="3" t="s">
        <v>60</v>
      </c>
      <c r="B59" s="4">
        <f t="shared" ref="B59" si="34">41981+(365*5)</f>
        <v>43806</v>
      </c>
      <c r="C59" t="b">
        <v>1</v>
      </c>
    </row>
    <row r="60" spans="1:3" x14ac:dyDescent="0.25">
      <c r="A60" s="3" t="s">
        <v>61</v>
      </c>
      <c r="B60" s="4">
        <f>41983+(365*5)</f>
        <v>43808</v>
      </c>
      <c r="C60" t="b">
        <v>1</v>
      </c>
    </row>
    <row r="61" spans="1:3" x14ac:dyDescent="0.25">
      <c r="A61" s="3" t="s">
        <v>62</v>
      </c>
      <c r="B61" s="4">
        <f t="shared" ref="B61" si="35">41985+(365*5)</f>
        <v>43810</v>
      </c>
      <c r="C61" t="b">
        <v>1</v>
      </c>
    </row>
    <row r="62" spans="1:3" x14ac:dyDescent="0.25">
      <c r="A62" s="3" t="s">
        <v>63</v>
      </c>
      <c r="B62" s="4">
        <f t="shared" ref="B62" si="36">41989+(365*5)</f>
        <v>43814</v>
      </c>
      <c r="C62" t="b">
        <v>1</v>
      </c>
    </row>
    <row r="63" spans="1:3" x14ac:dyDescent="0.25">
      <c r="A63" s="3" t="s">
        <v>64</v>
      </c>
      <c r="B63" s="4">
        <f t="shared" ref="B63" si="37">41999+(365*5)</f>
        <v>43824</v>
      </c>
      <c r="C63" t="b">
        <v>1</v>
      </c>
    </row>
    <row r="64" spans="1:3" x14ac:dyDescent="0.25">
      <c r="A64" s="3" t="s">
        <v>65</v>
      </c>
      <c r="B64" s="4">
        <f t="shared" ref="B64:B65" si="38">42000+(365*5)</f>
        <v>43825</v>
      </c>
      <c r="C64" t="b">
        <v>1</v>
      </c>
    </row>
    <row r="65" spans="1:3" x14ac:dyDescent="0.25">
      <c r="A65" s="3" t="s">
        <v>66</v>
      </c>
      <c r="B65" s="4">
        <f t="shared" si="38"/>
        <v>43825</v>
      </c>
      <c r="C65" t="b">
        <v>1</v>
      </c>
    </row>
    <row r="66" spans="1:3" x14ac:dyDescent="0.25">
      <c r="A66" s="3" t="s">
        <v>67</v>
      </c>
      <c r="B66" s="4">
        <f t="shared" ref="B66" si="39">42001+(365*5)</f>
        <v>43826</v>
      </c>
      <c r="C66" t="b">
        <v>1</v>
      </c>
    </row>
    <row r="67" spans="1:3" x14ac:dyDescent="0.25">
      <c r="A67" s="3" t="s">
        <v>68</v>
      </c>
      <c r="B67" s="4">
        <f t="shared" ref="B67" si="40">42002+(365*5)</f>
        <v>43827</v>
      </c>
      <c r="C67" t="b">
        <v>1</v>
      </c>
    </row>
    <row r="68" spans="1:3" x14ac:dyDescent="0.25">
      <c r="A68" s="3" t="s">
        <v>69</v>
      </c>
      <c r="B68" s="4">
        <f t="shared" ref="B68:B70" si="41">42004+(365*5)</f>
        <v>43829</v>
      </c>
      <c r="C68" t="b">
        <v>1</v>
      </c>
    </row>
    <row r="69" spans="1:3" x14ac:dyDescent="0.25">
      <c r="A69" s="3" t="s">
        <v>70</v>
      </c>
      <c r="B69" s="4">
        <f t="shared" si="41"/>
        <v>43829</v>
      </c>
      <c r="C69" t="b">
        <v>1</v>
      </c>
    </row>
    <row r="70" spans="1:3" x14ac:dyDescent="0.25">
      <c r="A70" s="3" t="s">
        <v>71</v>
      </c>
      <c r="B70" s="4">
        <f t="shared" si="41"/>
        <v>43829</v>
      </c>
      <c r="C70" t="b">
        <v>1</v>
      </c>
    </row>
    <row r="71" spans="1:3" x14ac:dyDescent="0.25">
      <c r="A71" s="3" t="s">
        <v>72</v>
      </c>
      <c r="B71" s="4">
        <f>42013+(365*5)</f>
        <v>43838</v>
      </c>
      <c r="C71" t="b">
        <v>1</v>
      </c>
    </row>
    <row r="72" spans="1:3" x14ac:dyDescent="0.25">
      <c r="A72" s="3" t="s">
        <v>73</v>
      </c>
      <c r="B72" s="4">
        <f t="shared" ref="B72" si="42">42049+(365*5)</f>
        <v>43874</v>
      </c>
      <c r="C72" t="b">
        <v>1</v>
      </c>
    </row>
    <row r="73" spans="1:3" x14ac:dyDescent="0.25">
      <c r="A73" s="3" t="s">
        <v>74</v>
      </c>
      <c r="B73" s="4">
        <f>42053+(365*5)</f>
        <v>43878</v>
      </c>
      <c r="C73" t="b">
        <v>1</v>
      </c>
    </row>
    <row r="74" spans="1:3" x14ac:dyDescent="0.25">
      <c r="A74" s="3" t="s">
        <v>75</v>
      </c>
      <c r="B74" s="4">
        <f>42063+(365*5)</f>
        <v>43888</v>
      </c>
      <c r="C74" t="b">
        <v>1</v>
      </c>
    </row>
    <row r="75" spans="1:3" x14ac:dyDescent="0.25">
      <c r="A75" s="3" t="s">
        <v>76</v>
      </c>
      <c r="B75" s="4">
        <f>42070+(365*5)</f>
        <v>43895</v>
      </c>
      <c r="C75" t="b">
        <v>1</v>
      </c>
    </row>
    <row r="76" spans="1:3" x14ac:dyDescent="0.25">
      <c r="A76" s="3" t="s">
        <v>77</v>
      </c>
      <c r="B76" s="4">
        <f t="shared" ref="B76" si="43">42071+(365*5)</f>
        <v>43896</v>
      </c>
      <c r="C76" t="b">
        <v>1</v>
      </c>
    </row>
    <row r="77" spans="1:3" x14ac:dyDescent="0.25">
      <c r="A77" s="3" t="s">
        <v>78</v>
      </c>
      <c r="B77" s="4">
        <f>42073+(365*5)</f>
        <v>43898</v>
      </c>
      <c r="C77" t="b">
        <v>1</v>
      </c>
    </row>
    <row r="78" spans="1:3" x14ac:dyDescent="0.25">
      <c r="A78" s="3" t="s">
        <v>79</v>
      </c>
      <c r="B78" s="4">
        <f>42076+(365*5)</f>
        <v>43901</v>
      </c>
      <c r="C78" t="b">
        <v>1</v>
      </c>
    </row>
    <row r="79" spans="1:3" x14ac:dyDescent="0.25">
      <c r="A79" s="3" t="s">
        <v>80</v>
      </c>
      <c r="B79" s="4">
        <f t="shared" ref="B79" si="44">42079+(365*5)</f>
        <v>43904</v>
      </c>
      <c r="C79" t="b">
        <v>1</v>
      </c>
    </row>
    <row r="80" spans="1:3" x14ac:dyDescent="0.25">
      <c r="A80" s="3" t="s">
        <v>81</v>
      </c>
      <c r="B80" s="4">
        <f t="shared" ref="B80:B81" si="45">42096+(365*5)</f>
        <v>43921</v>
      </c>
      <c r="C80" t="b">
        <v>1</v>
      </c>
    </row>
    <row r="81" spans="1:3" x14ac:dyDescent="0.25">
      <c r="A81" s="3" t="s">
        <v>82</v>
      </c>
      <c r="B81" s="4">
        <f t="shared" si="45"/>
        <v>43921</v>
      </c>
      <c r="C81" t="b">
        <v>1</v>
      </c>
    </row>
    <row r="82" spans="1:3" x14ac:dyDescent="0.25">
      <c r="A82" s="3" t="s">
        <v>83</v>
      </c>
      <c r="B82" s="4">
        <f t="shared" ref="B82" si="46">42099+(365*5)</f>
        <v>43924</v>
      </c>
      <c r="C82" t="b">
        <v>1</v>
      </c>
    </row>
    <row r="83" spans="1:3" x14ac:dyDescent="0.25">
      <c r="A83" s="3" t="s">
        <v>84</v>
      </c>
      <c r="B83" s="4">
        <f t="shared" ref="B83" si="47">42100+(365*5)</f>
        <v>43925</v>
      </c>
      <c r="C83" t="b">
        <v>1</v>
      </c>
    </row>
    <row r="84" spans="1:3" x14ac:dyDescent="0.25">
      <c r="A84" s="3" t="s">
        <v>85</v>
      </c>
      <c r="B84" s="4">
        <f>42101+(365*5)</f>
        <v>43926</v>
      </c>
      <c r="C84" t="b">
        <v>1</v>
      </c>
    </row>
    <row r="85" spans="1:3" x14ac:dyDescent="0.25">
      <c r="A85" s="3" t="s">
        <v>86</v>
      </c>
      <c r="B85" s="4">
        <f>42104+(365*5)</f>
        <v>43929</v>
      </c>
      <c r="C85" t="b">
        <v>1</v>
      </c>
    </row>
    <row r="86" spans="1:3" x14ac:dyDescent="0.25">
      <c r="A86" s="3" t="s">
        <v>87</v>
      </c>
      <c r="B86" s="4">
        <f>42108+(365*5)</f>
        <v>43933</v>
      </c>
      <c r="C86" t="b">
        <v>1</v>
      </c>
    </row>
    <row r="87" spans="1:3" x14ac:dyDescent="0.25">
      <c r="A87" s="3" t="s">
        <v>88</v>
      </c>
      <c r="B87" s="4">
        <f>42115+(365*5)</f>
        <v>43940</v>
      </c>
      <c r="C87" t="b">
        <v>1</v>
      </c>
    </row>
    <row r="88" spans="1:3" x14ac:dyDescent="0.25">
      <c r="A88" s="3" t="s">
        <v>89</v>
      </c>
      <c r="B88" s="4">
        <f t="shared" ref="B88" si="48">42120+(365*5)</f>
        <v>43945</v>
      </c>
      <c r="C88" t="b">
        <v>1</v>
      </c>
    </row>
    <row r="89" spans="1:3" x14ac:dyDescent="0.25">
      <c r="A89" s="3" t="s">
        <v>90</v>
      </c>
      <c r="B89" s="4">
        <f t="shared" ref="B89" si="49">42136+(365*5)</f>
        <v>43961</v>
      </c>
      <c r="C89" t="b">
        <v>1</v>
      </c>
    </row>
    <row r="90" spans="1:3" x14ac:dyDescent="0.25">
      <c r="A90" s="3" t="s">
        <v>91</v>
      </c>
      <c r="B90" s="4">
        <f t="shared" ref="B90" si="50">42138+(365*5)</f>
        <v>43963</v>
      </c>
      <c r="C90" t="b">
        <v>1</v>
      </c>
    </row>
    <row r="91" spans="1:3" x14ac:dyDescent="0.25">
      <c r="A91" s="3" t="s">
        <v>92</v>
      </c>
      <c r="B91" s="4">
        <f>42146+(365*5)</f>
        <v>43971</v>
      </c>
      <c r="C91" t="b">
        <v>1</v>
      </c>
    </row>
    <row r="92" spans="1:3" x14ac:dyDescent="0.25">
      <c r="A92" s="3" t="s">
        <v>93</v>
      </c>
      <c r="B92" s="4">
        <f t="shared" ref="B92" si="51">42147+(365*5)</f>
        <v>43972</v>
      </c>
      <c r="C92" t="b">
        <v>1</v>
      </c>
    </row>
    <row r="93" spans="1:3" x14ac:dyDescent="0.25">
      <c r="A93" s="3" t="s">
        <v>94</v>
      </c>
      <c r="B93" s="4">
        <f t="shared" ref="B93" si="52">42152+(365*5)</f>
        <v>43977</v>
      </c>
      <c r="C93" t="b">
        <v>1</v>
      </c>
    </row>
    <row r="94" spans="1:3" x14ac:dyDescent="0.25">
      <c r="A94" s="3" t="s">
        <v>95</v>
      </c>
      <c r="B94" s="4">
        <f t="shared" ref="B94" si="53">42153+(365*5)</f>
        <v>43978</v>
      </c>
      <c r="C94" t="b">
        <v>1</v>
      </c>
    </row>
    <row r="95" spans="1:3" x14ac:dyDescent="0.25">
      <c r="A95" s="3" t="s">
        <v>96</v>
      </c>
      <c r="B95" s="4">
        <f t="shared" ref="B95:B97" si="54">42155+(365*5)</f>
        <v>43980</v>
      </c>
      <c r="C95" t="b">
        <v>1</v>
      </c>
    </row>
    <row r="96" spans="1:3" x14ac:dyDescent="0.25">
      <c r="A96" s="3" t="s">
        <v>97</v>
      </c>
      <c r="B96" s="4">
        <f t="shared" si="54"/>
        <v>43980</v>
      </c>
      <c r="C96" t="b">
        <v>1</v>
      </c>
    </row>
    <row r="97" spans="1:3" x14ac:dyDescent="0.25">
      <c r="A97" s="3" t="s">
        <v>98</v>
      </c>
      <c r="B97" s="4">
        <f t="shared" si="54"/>
        <v>43980</v>
      </c>
      <c r="C97" t="b">
        <v>1</v>
      </c>
    </row>
    <row r="98" spans="1:3" x14ac:dyDescent="0.25">
      <c r="A98" s="3" t="s">
        <v>99</v>
      </c>
      <c r="B98" s="4">
        <f t="shared" ref="B98" si="55">42166+(365*5)</f>
        <v>43991</v>
      </c>
      <c r="C98" t="b">
        <v>1</v>
      </c>
    </row>
    <row r="99" spans="1:3" x14ac:dyDescent="0.25">
      <c r="A99" s="3" t="s">
        <v>100</v>
      </c>
      <c r="B99" s="4">
        <f t="shared" ref="B99" si="56">42174+(365*5)</f>
        <v>43999</v>
      </c>
      <c r="C99" t="b">
        <v>1</v>
      </c>
    </row>
    <row r="100" spans="1:3" x14ac:dyDescent="0.25">
      <c r="A100" s="3" t="s">
        <v>101</v>
      </c>
      <c r="B100" s="4">
        <f t="shared" ref="B100" si="57">42180+(365*5)</f>
        <v>44005</v>
      </c>
      <c r="C100" t="b">
        <v>1</v>
      </c>
    </row>
    <row r="101" spans="1:3" x14ac:dyDescent="0.25">
      <c r="A101" s="3" t="s">
        <v>102</v>
      </c>
      <c r="B101" s="4">
        <f t="shared" ref="B101" si="58">42181+(365*5)</f>
        <v>44006</v>
      </c>
      <c r="C101" t="b">
        <v>1</v>
      </c>
    </row>
    <row r="102" spans="1:3" x14ac:dyDescent="0.25">
      <c r="A102" s="3" t="s">
        <v>103</v>
      </c>
      <c r="B102" s="4">
        <f>42201+(365*5)</f>
        <v>44026</v>
      </c>
      <c r="C102" t="b">
        <v>1</v>
      </c>
    </row>
    <row r="103" spans="1:3" x14ac:dyDescent="0.25">
      <c r="A103" s="3" t="s">
        <v>104</v>
      </c>
      <c r="B103" s="4">
        <f>42203+(365*5)</f>
        <v>44028</v>
      </c>
      <c r="C103" t="b">
        <v>1</v>
      </c>
    </row>
    <row r="104" spans="1:3" x14ac:dyDescent="0.25">
      <c r="A104" s="3" t="s">
        <v>105</v>
      </c>
      <c r="B104" s="4">
        <f>42208+(365*5)</f>
        <v>44033</v>
      </c>
      <c r="C104" t="b">
        <v>1</v>
      </c>
    </row>
    <row r="105" spans="1:3" x14ac:dyDescent="0.25">
      <c r="A105" s="3" t="s">
        <v>106</v>
      </c>
      <c r="B105" s="4">
        <f>42215+(365*5)</f>
        <v>44040</v>
      </c>
      <c r="C105" t="b">
        <v>1</v>
      </c>
    </row>
    <row r="106" spans="1:3" x14ac:dyDescent="0.25">
      <c r="A106" s="3" t="s">
        <v>107</v>
      </c>
      <c r="B106" s="4">
        <f t="shared" ref="B106" si="59">42232+(365*5)</f>
        <v>44057</v>
      </c>
      <c r="C106" t="b">
        <v>1</v>
      </c>
    </row>
    <row r="107" spans="1:3" x14ac:dyDescent="0.25">
      <c r="A107" s="3" t="s">
        <v>108</v>
      </c>
      <c r="B107" s="4">
        <f t="shared" ref="B107" si="60">42237+(365*5)</f>
        <v>44062</v>
      </c>
      <c r="C107" t="b">
        <v>1</v>
      </c>
    </row>
    <row r="108" spans="1:3" x14ac:dyDescent="0.25">
      <c r="A108" s="3" t="s">
        <v>109</v>
      </c>
      <c r="B108" s="4">
        <f>42243+(365*5)</f>
        <v>44068</v>
      </c>
      <c r="C108" t="b">
        <v>1</v>
      </c>
    </row>
    <row r="109" spans="1:3" x14ac:dyDescent="0.25">
      <c r="A109" s="3" t="s">
        <v>110</v>
      </c>
      <c r="B109" s="4">
        <f t="shared" ref="B109:B110" si="61">42244+(365*5)</f>
        <v>44069</v>
      </c>
      <c r="C109" t="b">
        <v>1</v>
      </c>
    </row>
    <row r="110" spans="1:3" x14ac:dyDescent="0.25">
      <c r="A110" s="3" t="s">
        <v>111</v>
      </c>
      <c r="B110" s="4">
        <f t="shared" si="61"/>
        <v>44069</v>
      </c>
      <c r="C110" t="b">
        <v>1</v>
      </c>
    </row>
    <row r="111" spans="1:3" x14ac:dyDescent="0.25">
      <c r="A111" s="3" t="s">
        <v>112</v>
      </c>
      <c r="B111" s="4">
        <f t="shared" ref="B111" si="62">42250+(365*5)</f>
        <v>44075</v>
      </c>
      <c r="C111" t="b">
        <v>1</v>
      </c>
    </row>
    <row r="112" spans="1:3" x14ac:dyDescent="0.25">
      <c r="A112" s="3" t="s">
        <v>113</v>
      </c>
      <c r="B112" s="4">
        <f t="shared" ref="B112" si="63">42252+(365*5)</f>
        <v>44077</v>
      </c>
      <c r="C112" t="b">
        <v>1</v>
      </c>
    </row>
    <row r="113" spans="1:3" x14ac:dyDescent="0.25">
      <c r="A113" s="3" t="s">
        <v>114</v>
      </c>
      <c r="B113" s="4">
        <f t="shared" ref="B113" si="64">42261+(365*5)</f>
        <v>44086</v>
      </c>
      <c r="C113" t="b">
        <v>1</v>
      </c>
    </row>
    <row r="114" spans="1:3" x14ac:dyDescent="0.25">
      <c r="A114" s="3" t="s">
        <v>115</v>
      </c>
      <c r="B114" s="4">
        <f t="shared" ref="B114" si="65">42262+(365*5)</f>
        <v>44087</v>
      </c>
      <c r="C114" t="b">
        <v>1</v>
      </c>
    </row>
    <row r="115" spans="1:3" x14ac:dyDescent="0.25">
      <c r="A115" s="3" t="s">
        <v>116</v>
      </c>
      <c r="B115" s="4">
        <f t="shared" ref="B115" si="66">42266+(365*5)</f>
        <v>44091</v>
      </c>
      <c r="C115" t="b">
        <v>1</v>
      </c>
    </row>
    <row r="116" spans="1:3" x14ac:dyDescent="0.25">
      <c r="A116" s="3" t="s">
        <v>117</v>
      </c>
      <c r="B116" s="4">
        <f t="shared" ref="B116" si="67">42271+(365*5)</f>
        <v>44096</v>
      </c>
      <c r="C116" t="b">
        <v>1</v>
      </c>
    </row>
    <row r="117" spans="1:3" x14ac:dyDescent="0.25">
      <c r="A117" s="3" t="s">
        <v>118</v>
      </c>
      <c r="B117" s="4">
        <f t="shared" ref="B117:B118" si="68">42273+(365*5)</f>
        <v>44098</v>
      </c>
      <c r="C117" t="b">
        <v>1</v>
      </c>
    </row>
    <row r="118" spans="1:3" x14ac:dyDescent="0.25">
      <c r="A118" s="3" t="s">
        <v>119</v>
      </c>
      <c r="B118" s="4">
        <f t="shared" si="68"/>
        <v>44098</v>
      </c>
      <c r="C118" t="b">
        <v>1</v>
      </c>
    </row>
    <row r="119" spans="1:3" x14ac:dyDescent="0.25">
      <c r="A119" s="3" t="s">
        <v>120</v>
      </c>
      <c r="B119" s="4">
        <f t="shared" ref="B119" si="69">42274+(365*5)</f>
        <v>44099</v>
      </c>
      <c r="C119" t="b">
        <v>1</v>
      </c>
    </row>
    <row r="120" spans="1:3" x14ac:dyDescent="0.25">
      <c r="A120" s="3" t="s">
        <v>121</v>
      </c>
      <c r="B120" s="4">
        <f t="shared" ref="B120" si="70">42275+(365*5)</f>
        <v>44100</v>
      </c>
      <c r="C120" t="b">
        <v>1</v>
      </c>
    </row>
    <row r="121" spans="1:3" x14ac:dyDescent="0.25">
      <c r="A121" s="3" t="s">
        <v>122</v>
      </c>
      <c r="B121" s="4">
        <f t="shared" ref="B121" si="71">42278+(365*5)</f>
        <v>44103</v>
      </c>
      <c r="C121" t="b">
        <v>1</v>
      </c>
    </row>
    <row r="122" spans="1:3" x14ac:dyDescent="0.25">
      <c r="A122" s="3" t="s">
        <v>123</v>
      </c>
      <c r="B122" s="4">
        <f t="shared" ref="B122" si="72">42280+(365*5)</f>
        <v>44105</v>
      </c>
      <c r="C122" t="b">
        <v>1</v>
      </c>
    </row>
    <row r="123" spans="1:3" x14ac:dyDescent="0.25">
      <c r="A123" s="3" t="s">
        <v>124</v>
      </c>
      <c r="B123" s="4">
        <f t="shared" ref="B123" si="73">42282+(365*5)</f>
        <v>44107</v>
      </c>
      <c r="C123" t="b">
        <v>1</v>
      </c>
    </row>
    <row r="124" spans="1:3" x14ac:dyDescent="0.25">
      <c r="A124" s="3" t="s">
        <v>125</v>
      </c>
      <c r="B124" s="4">
        <f t="shared" ref="B124" si="74">42289+(365*5)</f>
        <v>44114</v>
      </c>
      <c r="C124" t="b">
        <v>1</v>
      </c>
    </row>
    <row r="125" spans="1:3" x14ac:dyDescent="0.25">
      <c r="A125" s="3" t="s">
        <v>126</v>
      </c>
      <c r="B125" s="4">
        <f>42294+(365*5)</f>
        <v>44119</v>
      </c>
      <c r="C125" t="b">
        <v>1</v>
      </c>
    </row>
    <row r="126" spans="1:3" x14ac:dyDescent="0.25">
      <c r="A126" s="3" t="s">
        <v>127</v>
      </c>
      <c r="B126" s="4">
        <f t="shared" ref="B126" si="75">42302+(365*5)</f>
        <v>44127</v>
      </c>
      <c r="C126" t="b">
        <v>1</v>
      </c>
    </row>
    <row r="127" spans="1:3" x14ac:dyDescent="0.25">
      <c r="A127" s="3" t="s">
        <v>128</v>
      </c>
      <c r="B127" s="4">
        <f t="shared" ref="B127" si="76">42307+(365*5)</f>
        <v>44132</v>
      </c>
      <c r="C127" t="b">
        <v>1</v>
      </c>
    </row>
    <row r="128" spans="1:3" x14ac:dyDescent="0.25">
      <c r="A128" s="3" t="s">
        <v>129</v>
      </c>
      <c r="B128" s="4">
        <f t="shared" ref="B128" si="77">42308+(365*5)</f>
        <v>44133</v>
      </c>
      <c r="C128" t="b">
        <v>1</v>
      </c>
    </row>
    <row r="129" spans="1:3" x14ac:dyDescent="0.25">
      <c r="A129" s="3" t="s">
        <v>130</v>
      </c>
      <c r="B129" s="4">
        <f t="shared" ref="B129" si="78">42309+(365*5)</f>
        <v>44134</v>
      </c>
      <c r="C129" t="b">
        <v>1</v>
      </c>
    </row>
    <row r="130" spans="1:3" x14ac:dyDescent="0.25">
      <c r="A130" s="3" t="s">
        <v>131</v>
      </c>
      <c r="B130" s="4">
        <f t="shared" ref="B130" si="79">42310+(365*5)</f>
        <v>44135</v>
      </c>
      <c r="C130" t="b">
        <v>1</v>
      </c>
    </row>
    <row r="131" spans="1:3" x14ac:dyDescent="0.25">
      <c r="A131" s="3" t="s">
        <v>132</v>
      </c>
      <c r="B131" s="4">
        <f>42311+(365*5)</f>
        <v>44136</v>
      </c>
      <c r="C131" t="b">
        <v>1</v>
      </c>
    </row>
    <row r="132" spans="1:3" x14ac:dyDescent="0.25">
      <c r="A132" s="3" t="s">
        <v>133</v>
      </c>
      <c r="B132" s="4">
        <f>42319+(365*5)</f>
        <v>44144</v>
      </c>
      <c r="C132" t="b">
        <v>1</v>
      </c>
    </row>
    <row r="133" spans="1:3" x14ac:dyDescent="0.25">
      <c r="A133" s="3" t="s">
        <v>134</v>
      </c>
      <c r="B133" s="4">
        <f t="shared" ref="B133:B135" si="80">42323+(365*5)</f>
        <v>44148</v>
      </c>
      <c r="C133" t="b">
        <v>1</v>
      </c>
    </row>
    <row r="134" spans="1:3" x14ac:dyDescent="0.25">
      <c r="A134" s="3" t="s">
        <v>135</v>
      </c>
      <c r="B134" s="4">
        <f t="shared" si="80"/>
        <v>44148</v>
      </c>
      <c r="C134" t="b">
        <v>1</v>
      </c>
    </row>
    <row r="135" spans="1:3" x14ac:dyDescent="0.25">
      <c r="A135" s="3" t="s">
        <v>136</v>
      </c>
      <c r="B135" s="4">
        <f t="shared" si="80"/>
        <v>44148</v>
      </c>
      <c r="C135" t="b">
        <v>1</v>
      </c>
    </row>
    <row r="136" spans="1:3" x14ac:dyDescent="0.25">
      <c r="A136" s="3" t="s">
        <v>137</v>
      </c>
      <c r="B136" s="4">
        <f t="shared" ref="B136:B137" si="81">42329+(365*5)</f>
        <v>44154</v>
      </c>
      <c r="C136" t="b">
        <v>1</v>
      </c>
    </row>
    <row r="137" spans="1:3" x14ac:dyDescent="0.25">
      <c r="A137" s="3" t="s">
        <v>138</v>
      </c>
      <c r="B137" s="4">
        <f t="shared" si="81"/>
        <v>44154</v>
      </c>
      <c r="C137" t="b">
        <v>1</v>
      </c>
    </row>
    <row r="138" spans="1:3" x14ac:dyDescent="0.25">
      <c r="A138" s="3" t="s">
        <v>139</v>
      </c>
      <c r="B138" s="4">
        <f t="shared" ref="B138" si="82">42335+(365*5)</f>
        <v>44160</v>
      </c>
      <c r="C138" t="b">
        <v>1</v>
      </c>
    </row>
    <row r="139" spans="1:3" x14ac:dyDescent="0.25">
      <c r="A139" s="3" t="s">
        <v>140</v>
      </c>
      <c r="B139" s="4">
        <f t="shared" ref="B139" si="83">42337+(365*5)</f>
        <v>44162</v>
      </c>
      <c r="C139" t="b">
        <v>1</v>
      </c>
    </row>
    <row r="140" spans="1:3" x14ac:dyDescent="0.25">
      <c r="A140" s="3" t="s">
        <v>141</v>
      </c>
      <c r="B140" s="4">
        <f t="shared" ref="B140" si="84">42344+(365*5)</f>
        <v>44169</v>
      </c>
      <c r="C140" t="b">
        <v>1</v>
      </c>
    </row>
    <row r="141" spans="1:3" x14ac:dyDescent="0.25">
      <c r="A141" s="3" t="s">
        <v>142</v>
      </c>
      <c r="B141" s="4">
        <f t="shared" ref="B141" si="85">42346+(365*5)</f>
        <v>44171</v>
      </c>
      <c r="C141" t="b">
        <v>1</v>
      </c>
    </row>
    <row r="142" spans="1:3" x14ac:dyDescent="0.25">
      <c r="A142" s="3" t="s">
        <v>143</v>
      </c>
      <c r="B142" s="4">
        <f t="shared" ref="B142:B143" si="86">42348+(365*5)</f>
        <v>44173</v>
      </c>
      <c r="C142" t="b">
        <v>1</v>
      </c>
    </row>
    <row r="143" spans="1:3" x14ac:dyDescent="0.25">
      <c r="A143" s="3" t="s">
        <v>144</v>
      </c>
      <c r="B143" s="4">
        <f t="shared" si="86"/>
        <v>44173</v>
      </c>
      <c r="C143" t="b">
        <v>1</v>
      </c>
    </row>
    <row r="144" spans="1:3" x14ac:dyDescent="0.25">
      <c r="A144" s="3" t="s">
        <v>145</v>
      </c>
      <c r="B144" s="4">
        <f t="shared" ref="B144:B145" si="87">42350+(365*5)</f>
        <v>44175</v>
      </c>
      <c r="C144" t="b">
        <v>1</v>
      </c>
    </row>
    <row r="145" spans="1:3" x14ac:dyDescent="0.25">
      <c r="A145" s="3" t="s">
        <v>146</v>
      </c>
      <c r="B145" s="4">
        <f t="shared" si="87"/>
        <v>44175</v>
      </c>
      <c r="C145" t="b">
        <v>1</v>
      </c>
    </row>
    <row r="146" spans="1:3" x14ac:dyDescent="0.25">
      <c r="A146" s="3" t="s">
        <v>147</v>
      </c>
      <c r="B146" s="4">
        <f t="shared" ref="B146" si="88">42352+(365*5)</f>
        <v>44177</v>
      </c>
      <c r="C146" t="b">
        <v>1</v>
      </c>
    </row>
    <row r="147" spans="1:3" x14ac:dyDescent="0.25">
      <c r="A147" s="3" t="s">
        <v>148</v>
      </c>
      <c r="B147" s="4">
        <f t="shared" ref="B147" si="89">42353+(365*5)</f>
        <v>44178</v>
      </c>
      <c r="C147" t="b">
        <v>1</v>
      </c>
    </row>
    <row r="148" spans="1:3" x14ac:dyDescent="0.25">
      <c r="A148" s="3" t="s">
        <v>149</v>
      </c>
      <c r="B148" s="4">
        <f t="shared" ref="B148" si="90">42358+(365*5)</f>
        <v>44183</v>
      </c>
      <c r="C148" t="b">
        <v>1</v>
      </c>
    </row>
    <row r="149" spans="1:3" x14ac:dyDescent="0.25">
      <c r="A149" s="3" t="s">
        <v>150</v>
      </c>
      <c r="B149" s="4">
        <f t="shared" ref="B149" si="91">42359+(365*5)</f>
        <v>44184</v>
      </c>
      <c r="C149" t="b">
        <v>1</v>
      </c>
    </row>
    <row r="150" spans="1:3" x14ac:dyDescent="0.25">
      <c r="A150" s="3" t="s">
        <v>151</v>
      </c>
      <c r="B150" s="4">
        <f t="shared" ref="B150" si="92">42369+(365*5)</f>
        <v>44194</v>
      </c>
      <c r="C150" t="b">
        <v>1</v>
      </c>
    </row>
    <row r="151" spans="1:3" x14ac:dyDescent="0.25">
      <c r="A151" s="3" t="s">
        <v>152</v>
      </c>
      <c r="B151" s="4">
        <f>42374+(365*5)</f>
        <v>44199</v>
      </c>
      <c r="C151" t="b">
        <v>1</v>
      </c>
    </row>
    <row r="152" spans="1:3" x14ac:dyDescent="0.25">
      <c r="A152" s="3" t="s">
        <v>153</v>
      </c>
      <c r="B152" s="4">
        <f>42383+(365*5)</f>
        <v>44208</v>
      </c>
      <c r="C152" t="b">
        <v>1</v>
      </c>
    </row>
    <row r="153" spans="1:3" x14ac:dyDescent="0.25">
      <c r="A153" s="3" t="s">
        <v>154</v>
      </c>
      <c r="B153" s="4">
        <f t="shared" ref="B153" si="93">42391+(365*5)</f>
        <v>44216</v>
      </c>
      <c r="C153" t="b">
        <v>1</v>
      </c>
    </row>
    <row r="154" spans="1:3" x14ac:dyDescent="0.25">
      <c r="A154" s="3" t="s">
        <v>155</v>
      </c>
      <c r="B154" s="4">
        <f>42397+(365*5)</f>
        <v>44222</v>
      </c>
      <c r="C154" t="b">
        <v>1</v>
      </c>
    </row>
    <row r="155" spans="1:3" x14ac:dyDescent="0.25">
      <c r="A155" s="3" t="s">
        <v>156</v>
      </c>
      <c r="B155" s="4">
        <f>42402+(365*5)</f>
        <v>44227</v>
      </c>
      <c r="C155" t="b">
        <v>1</v>
      </c>
    </row>
    <row r="156" spans="1:3" x14ac:dyDescent="0.25">
      <c r="A156" s="3" t="s">
        <v>157</v>
      </c>
      <c r="B156" s="4">
        <f t="shared" ref="B156" si="94">42416+(365*5)</f>
        <v>44241</v>
      </c>
      <c r="C156" t="b">
        <v>1</v>
      </c>
    </row>
    <row r="157" spans="1:3" x14ac:dyDescent="0.25">
      <c r="A157" s="3" t="s">
        <v>158</v>
      </c>
      <c r="B157" s="4">
        <f t="shared" ref="B157:B158" si="95">42432+(365*5)</f>
        <v>44257</v>
      </c>
      <c r="C157" t="b">
        <v>1</v>
      </c>
    </row>
    <row r="158" spans="1:3" x14ac:dyDescent="0.25">
      <c r="A158" s="3" t="s">
        <v>159</v>
      </c>
      <c r="B158" s="4">
        <f t="shared" si="95"/>
        <v>44257</v>
      </c>
      <c r="C158" t="b">
        <v>1</v>
      </c>
    </row>
    <row r="159" spans="1:3" x14ac:dyDescent="0.25">
      <c r="A159" s="3" t="s">
        <v>160</v>
      </c>
      <c r="B159" s="4">
        <f t="shared" ref="B159" si="96">42442+(365*5)</f>
        <v>44267</v>
      </c>
      <c r="C159" t="b">
        <v>1</v>
      </c>
    </row>
    <row r="160" spans="1:3" x14ac:dyDescent="0.25">
      <c r="A160" s="3" t="s">
        <v>161</v>
      </c>
      <c r="B160" s="4">
        <f t="shared" ref="B160" si="97">42449+(365*5)</f>
        <v>44274</v>
      </c>
      <c r="C160" t="b">
        <v>1</v>
      </c>
    </row>
    <row r="161" spans="1:3" x14ac:dyDescent="0.25">
      <c r="A161" s="3" t="s">
        <v>162</v>
      </c>
      <c r="B161" s="4">
        <f>42469+(365*5)</f>
        <v>44294</v>
      </c>
      <c r="C161" t="b">
        <v>1</v>
      </c>
    </row>
    <row r="162" spans="1:3" x14ac:dyDescent="0.25">
      <c r="A162" s="3" t="s">
        <v>163</v>
      </c>
      <c r="B162" s="4">
        <f t="shared" ref="B162" si="98">42493+(365*5)</f>
        <v>44318</v>
      </c>
      <c r="C162" t="b">
        <v>1</v>
      </c>
    </row>
    <row r="163" spans="1:3" x14ac:dyDescent="0.25">
      <c r="A163" s="3" t="s">
        <v>164</v>
      </c>
      <c r="B163" s="4">
        <f t="shared" ref="B163" si="99">42496+(365*5)</f>
        <v>44321</v>
      </c>
      <c r="C163" t="b">
        <v>1</v>
      </c>
    </row>
    <row r="164" spans="1:3" x14ac:dyDescent="0.25">
      <c r="A164" s="3" t="s">
        <v>165</v>
      </c>
      <c r="B164" s="4">
        <f t="shared" ref="B164" si="100">42499+(365*5)</f>
        <v>44324</v>
      </c>
      <c r="C164" t="b">
        <v>1</v>
      </c>
    </row>
    <row r="165" spans="1:3" x14ac:dyDescent="0.25">
      <c r="A165" s="3" t="s">
        <v>166</v>
      </c>
      <c r="B165" s="4">
        <f>42500+(365*5)</f>
        <v>44325</v>
      </c>
      <c r="C165" t="b">
        <v>1</v>
      </c>
    </row>
    <row r="166" spans="1:3" x14ac:dyDescent="0.25">
      <c r="A166" s="3" t="s">
        <v>167</v>
      </c>
      <c r="B166" s="4">
        <f t="shared" ref="B166" si="101">42516+(365*5)</f>
        <v>44341</v>
      </c>
      <c r="C166" t="b">
        <v>1</v>
      </c>
    </row>
    <row r="167" spans="1:3" x14ac:dyDescent="0.25">
      <c r="A167" s="3" t="s">
        <v>168</v>
      </c>
      <c r="B167" s="4">
        <f t="shared" ref="B167" si="102">42517+(365*5)</f>
        <v>44342</v>
      </c>
      <c r="C167" t="b">
        <v>1</v>
      </c>
    </row>
    <row r="168" spans="1:3" x14ac:dyDescent="0.25">
      <c r="A168" s="3" t="s">
        <v>169</v>
      </c>
      <c r="B168" s="4">
        <f t="shared" ref="B168" si="103">42527+(365*5)</f>
        <v>44352</v>
      </c>
      <c r="C168" t="b">
        <v>1</v>
      </c>
    </row>
    <row r="169" spans="1:3" x14ac:dyDescent="0.25">
      <c r="A169" s="3" t="s">
        <v>170</v>
      </c>
      <c r="B169" s="4">
        <f>42539+(365*5)</f>
        <v>44364</v>
      </c>
      <c r="C169" t="b">
        <v>1</v>
      </c>
    </row>
    <row r="170" spans="1:3" x14ac:dyDescent="0.25">
      <c r="A170" s="3" t="s">
        <v>171</v>
      </c>
      <c r="B170" s="4">
        <f>42540+(365*5)</f>
        <v>44365</v>
      </c>
      <c r="C170" t="b">
        <v>1</v>
      </c>
    </row>
    <row r="171" spans="1:3" x14ac:dyDescent="0.25">
      <c r="A171" s="3" t="s">
        <v>172</v>
      </c>
      <c r="B171" s="4">
        <f t="shared" ref="B171" si="104">42549+(365*5)</f>
        <v>44374</v>
      </c>
      <c r="C171" t="b">
        <v>1</v>
      </c>
    </row>
    <row r="172" spans="1:3" x14ac:dyDescent="0.25">
      <c r="A172" s="3" t="s">
        <v>173</v>
      </c>
      <c r="B172" s="4">
        <f>42553+(365*5)</f>
        <v>44378</v>
      </c>
      <c r="C172" t="b">
        <v>1</v>
      </c>
    </row>
    <row r="173" spans="1:3" x14ac:dyDescent="0.25">
      <c r="A173" s="3" t="s">
        <v>174</v>
      </c>
      <c r="B173" s="4">
        <f>42554+(365*5)</f>
        <v>44379</v>
      </c>
      <c r="C173" t="b">
        <v>1</v>
      </c>
    </row>
    <row r="174" spans="1:3" x14ac:dyDescent="0.25">
      <c r="A174" s="3" t="s">
        <v>175</v>
      </c>
      <c r="B174" s="4">
        <f t="shared" ref="B174" si="105">42559+(365*5)</f>
        <v>44384</v>
      </c>
      <c r="C174" t="b">
        <v>1</v>
      </c>
    </row>
    <row r="175" spans="1:3" x14ac:dyDescent="0.25">
      <c r="A175" s="3" t="s">
        <v>176</v>
      </c>
      <c r="B175" s="4">
        <f t="shared" ref="B175" si="106">42567+(365*5)</f>
        <v>44392</v>
      </c>
      <c r="C175" t="b">
        <v>1</v>
      </c>
    </row>
    <row r="176" spans="1:3" x14ac:dyDescent="0.25">
      <c r="A176" s="3" t="s">
        <v>177</v>
      </c>
      <c r="B176" s="4">
        <f t="shared" ref="B176" si="107">42568+(365*5)</f>
        <v>44393</v>
      </c>
      <c r="C176" t="b">
        <v>1</v>
      </c>
    </row>
    <row r="177" spans="1:3" x14ac:dyDescent="0.25">
      <c r="A177" s="3" t="s">
        <v>178</v>
      </c>
      <c r="B177" s="4">
        <f>42571+(365*5)</f>
        <v>44396</v>
      </c>
      <c r="C177" t="b">
        <v>1</v>
      </c>
    </row>
    <row r="178" spans="1:3" x14ac:dyDescent="0.25">
      <c r="A178" s="3" t="s">
        <v>179</v>
      </c>
      <c r="B178" s="4">
        <f t="shared" ref="B178" si="108">42572+(365*5)</f>
        <v>44397</v>
      </c>
      <c r="C178" t="b">
        <v>1</v>
      </c>
    </row>
    <row r="179" spans="1:3" x14ac:dyDescent="0.25">
      <c r="A179" s="3" t="s">
        <v>180</v>
      </c>
      <c r="B179" s="4">
        <f t="shared" ref="B179" si="109">42573+(365*5)</f>
        <v>44398</v>
      </c>
      <c r="C179" t="b">
        <v>1</v>
      </c>
    </row>
    <row r="180" spans="1:3" x14ac:dyDescent="0.25">
      <c r="A180" s="3" t="s">
        <v>181</v>
      </c>
      <c r="B180" s="4">
        <f t="shared" ref="B180" si="110">42574+(365*5)</f>
        <v>44399</v>
      </c>
      <c r="C180" t="b">
        <v>1</v>
      </c>
    </row>
    <row r="181" spans="1:3" x14ac:dyDescent="0.25">
      <c r="A181" s="3" t="s">
        <v>182</v>
      </c>
      <c r="B181" s="4">
        <f t="shared" ref="B181" si="111">42576+(365*5)</f>
        <v>44401</v>
      </c>
      <c r="C181" t="b">
        <v>1</v>
      </c>
    </row>
    <row r="182" spans="1:3" x14ac:dyDescent="0.25">
      <c r="A182" s="3" t="s">
        <v>183</v>
      </c>
      <c r="B182" s="4">
        <f>42593+(365*5)</f>
        <v>44418</v>
      </c>
      <c r="C182" t="b">
        <v>1</v>
      </c>
    </row>
    <row r="183" spans="1:3" x14ac:dyDescent="0.25">
      <c r="A183" s="3" t="s">
        <v>184</v>
      </c>
      <c r="B183" s="4">
        <f t="shared" ref="B183:B184" si="112">42594+(365*5)</f>
        <v>44419</v>
      </c>
      <c r="C183" t="b">
        <v>1</v>
      </c>
    </row>
    <row r="184" spans="1:3" x14ac:dyDescent="0.25">
      <c r="A184" s="3" t="s">
        <v>185</v>
      </c>
      <c r="B184" s="4">
        <f t="shared" si="112"/>
        <v>44419</v>
      </c>
      <c r="C184" t="b">
        <v>1</v>
      </c>
    </row>
    <row r="185" spans="1:3" x14ac:dyDescent="0.25">
      <c r="A185" s="3" t="s">
        <v>186</v>
      </c>
      <c r="B185" s="4">
        <f t="shared" ref="B185" si="113">42596+(365*5)</f>
        <v>44421</v>
      </c>
      <c r="C185" t="b">
        <v>1</v>
      </c>
    </row>
    <row r="186" spans="1:3" x14ac:dyDescent="0.25">
      <c r="A186" s="3" t="s">
        <v>187</v>
      </c>
      <c r="B186" s="4">
        <f t="shared" ref="B186" si="114">42600+(365*5)</f>
        <v>44425</v>
      </c>
      <c r="C186" t="b">
        <v>1</v>
      </c>
    </row>
    <row r="187" spans="1:3" x14ac:dyDescent="0.25">
      <c r="A187" s="3" t="s">
        <v>188</v>
      </c>
      <c r="B187" s="4">
        <f t="shared" ref="B187" si="115">42609+(365*5)</f>
        <v>44434</v>
      </c>
      <c r="C187" t="b">
        <v>1</v>
      </c>
    </row>
    <row r="188" spans="1:3" x14ac:dyDescent="0.25">
      <c r="A188" s="3" t="s">
        <v>189</v>
      </c>
      <c r="B188" s="4">
        <f t="shared" ref="B188" si="116">42614+(365*5)</f>
        <v>44439</v>
      </c>
      <c r="C188" t="b">
        <v>1</v>
      </c>
    </row>
    <row r="189" spans="1:3" x14ac:dyDescent="0.25">
      <c r="A189" s="3" t="s">
        <v>190</v>
      </c>
      <c r="B189" s="4">
        <f t="shared" ref="B189" si="117">42615+(365*5)</f>
        <v>44440</v>
      </c>
      <c r="C189" t="b">
        <v>1</v>
      </c>
    </row>
    <row r="190" spans="1:3" x14ac:dyDescent="0.25">
      <c r="A190" s="3" t="s">
        <v>191</v>
      </c>
      <c r="B190" s="4">
        <f t="shared" ref="B190:B191" si="118">42618+(365*5)</f>
        <v>44443</v>
      </c>
      <c r="C190" t="b">
        <v>1</v>
      </c>
    </row>
    <row r="191" spans="1:3" x14ac:dyDescent="0.25">
      <c r="A191" s="3" t="s">
        <v>192</v>
      </c>
      <c r="B191" s="4">
        <f t="shared" si="118"/>
        <v>44443</v>
      </c>
      <c r="C191" t="b">
        <v>1</v>
      </c>
    </row>
    <row r="192" spans="1:3" x14ac:dyDescent="0.25">
      <c r="A192" s="3" t="s">
        <v>193</v>
      </c>
      <c r="B192" s="4">
        <f t="shared" ref="B192:B193" si="119">42621+(365*5)</f>
        <v>44446</v>
      </c>
      <c r="C192" t="b">
        <v>1</v>
      </c>
    </row>
    <row r="193" spans="1:3" x14ac:dyDescent="0.25">
      <c r="A193" s="3" t="s">
        <v>194</v>
      </c>
      <c r="B193" s="4">
        <f t="shared" si="119"/>
        <v>44446</v>
      </c>
      <c r="C193" t="b">
        <v>1</v>
      </c>
    </row>
    <row r="194" spans="1:3" x14ac:dyDescent="0.25">
      <c r="A194" s="3" t="s">
        <v>195</v>
      </c>
      <c r="B194" s="4">
        <f t="shared" ref="B194" si="120">42628+(365*5)</f>
        <v>44453</v>
      </c>
      <c r="C194" t="b">
        <v>1</v>
      </c>
    </row>
    <row r="195" spans="1:3" x14ac:dyDescent="0.25">
      <c r="A195" s="3" t="s">
        <v>196</v>
      </c>
      <c r="B195" s="4">
        <f t="shared" ref="B195" si="121">42635+(365*5)</f>
        <v>44460</v>
      </c>
      <c r="C195" t="b">
        <v>1</v>
      </c>
    </row>
    <row r="196" spans="1:3" x14ac:dyDescent="0.25">
      <c r="A196" s="3" t="s">
        <v>197</v>
      </c>
      <c r="B196" s="4">
        <f t="shared" ref="B196" si="122">42638+(365*5)</f>
        <v>44463</v>
      </c>
      <c r="C196" t="b">
        <v>1</v>
      </c>
    </row>
    <row r="197" spans="1:3" x14ac:dyDescent="0.25">
      <c r="A197" s="3" t="s">
        <v>198</v>
      </c>
      <c r="B197" s="4">
        <f t="shared" ref="B197" si="123">42639+(365*5)</f>
        <v>44464</v>
      </c>
      <c r="C197" t="b">
        <v>1</v>
      </c>
    </row>
    <row r="198" spans="1:3" x14ac:dyDescent="0.25">
      <c r="A198" s="3" t="s">
        <v>199</v>
      </c>
      <c r="B198" s="4">
        <f t="shared" ref="B198" si="124">42645+(365*5)</f>
        <v>44470</v>
      </c>
      <c r="C198" t="b">
        <v>1</v>
      </c>
    </row>
    <row r="199" spans="1:3" x14ac:dyDescent="0.25">
      <c r="A199" s="3" t="s">
        <v>200</v>
      </c>
      <c r="B199" s="4">
        <f t="shared" ref="B199" si="125">42646+(365*5)</f>
        <v>44471</v>
      </c>
      <c r="C199" t="b">
        <v>1</v>
      </c>
    </row>
    <row r="200" spans="1:3" x14ac:dyDescent="0.25">
      <c r="A200" s="3" t="s">
        <v>201</v>
      </c>
      <c r="B200" s="4">
        <f t="shared" ref="B200" si="126">42664+(365*5)</f>
        <v>44489</v>
      </c>
      <c r="C200" t="b">
        <v>1</v>
      </c>
    </row>
    <row r="201" spans="1:3" x14ac:dyDescent="0.25">
      <c r="A201" s="3" t="s">
        <v>202</v>
      </c>
      <c r="B201" s="4">
        <f t="shared" ref="B201" si="127">42670+(365*5)</f>
        <v>44495</v>
      </c>
      <c r="C201" t="b">
        <v>1</v>
      </c>
    </row>
    <row r="202" spans="1:3" x14ac:dyDescent="0.25">
      <c r="A202" s="3" t="s">
        <v>203</v>
      </c>
      <c r="B202" s="4">
        <f t="shared" ref="B202" si="128">42671+(365*5)</f>
        <v>44496</v>
      </c>
      <c r="C202" t="b">
        <v>1</v>
      </c>
    </row>
    <row r="203" spans="1:3" x14ac:dyDescent="0.25">
      <c r="A203" s="3" t="s">
        <v>204</v>
      </c>
      <c r="B203" s="4">
        <f>42672+(365*5)</f>
        <v>44497</v>
      </c>
      <c r="C203" t="b">
        <v>1</v>
      </c>
    </row>
    <row r="204" spans="1:3" x14ac:dyDescent="0.25">
      <c r="A204" s="3" t="s">
        <v>205</v>
      </c>
      <c r="B204" s="4">
        <f>42675+(365*5)</f>
        <v>44500</v>
      </c>
      <c r="C204" t="b">
        <v>1</v>
      </c>
    </row>
    <row r="205" spans="1:3" x14ac:dyDescent="0.25">
      <c r="A205" s="3" t="s">
        <v>206</v>
      </c>
      <c r="B205" s="4">
        <f t="shared" ref="B205:B206" si="129">42677+(365*5)</f>
        <v>44502</v>
      </c>
      <c r="C205" t="b">
        <v>1</v>
      </c>
    </row>
    <row r="206" spans="1:3" x14ac:dyDescent="0.25">
      <c r="A206" s="3" t="s">
        <v>207</v>
      </c>
      <c r="B206" s="4">
        <f t="shared" si="129"/>
        <v>44502</v>
      </c>
      <c r="C206" t="b">
        <v>1</v>
      </c>
    </row>
    <row r="207" spans="1:3" x14ac:dyDescent="0.25">
      <c r="A207" s="3" t="s">
        <v>208</v>
      </c>
      <c r="B207" s="4">
        <f t="shared" ref="B207" si="130">42684+(365*5)</f>
        <v>44509</v>
      </c>
      <c r="C207" t="b">
        <v>1</v>
      </c>
    </row>
    <row r="208" spans="1:3" x14ac:dyDescent="0.25">
      <c r="A208" s="3" t="s">
        <v>209</v>
      </c>
      <c r="B208" s="4">
        <f t="shared" ref="B208" si="131">42685+(365*5)</f>
        <v>44510</v>
      </c>
      <c r="C208" t="b">
        <v>1</v>
      </c>
    </row>
    <row r="209" spans="1:3" x14ac:dyDescent="0.25">
      <c r="A209" s="3" t="s">
        <v>210</v>
      </c>
      <c r="B209" s="4">
        <f t="shared" ref="B209:B210" si="132">42688+(365*5)</f>
        <v>44513</v>
      </c>
      <c r="C209" t="b">
        <v>1</v>
      </c>
    </row>
    <row r="210" spans="1:3" x14ac:dyDescent="0.25">
      <c r="A210" s="3" t="s">
        <v>211</v>
      </c>
      <c r="B210" s="4">
        <f t="shared" si="132"/>
        <v>44513</v>
      </c>
      <c r="C210" t="b">
        <v>1</v>
      </c>
    </row>
    <row r="211" spans="1:3" x14ac:dyDescent="0.25">
      <c r="A211" s="3" t="s">
        <v>212</v>
      </c>
      <c r="B211" s="4">
        <f t="shared" ref="B211" si="133">42694+(365*5)</f>
        <v>44519</v>
      </c>
      <c r="C211" t="b">
        <v>1</v>
      </c>
    </row>
    <row r="212" spans="1:3" x14ac:dyDescent="0.25">
      <c r="A212" s="3" t="s">
        <v>213</v>
      </c>
      <c r="B212" s="4">
        <f t="shared" ref="B212" si="134">42696+(365*5)</f>
        <v>44521</v>
      </c>
      <c r="C212" t="b">
        <v>1</v>
      </c>
    </row>
    <row r="213" spans="1:3" x14ac:dyDescent="0.25">
      <c r="A213" s="3" t="s">
        <v>214</v>
      </c>
      <c r="B213" s="4">
        <f t="shared" ref="B213" si="135">42699+(365*5)</f>
        <v>44524</v>
      </c>
      <c r="C213" t="b">
        <v>1</v>
      </c>
    </row>
    <row r="214" spans="1:3" x14ac:dyDescent="0.25">
      <c r="A214" s="3" t="s">
        <v>215</v>
      </c>
      <c r="B214" s="4">
        <f t="shared" ref="B214:B216" si="136">42706+(365*5)</f>
        <v>44531</v>
      </c>
      <c r="C214" t="b">
        <v>1</v>
      </c>
    </row>
    <row r="215" spans="1:3" x14ac:dyDescent="0.25">
      <c r="A215" s="3" t="s">
        <v>216</v>
      </c>
      <c r="B215" s="4">
        <f t="shared" si="136"/>
        <v>44531</v>
      </c>
      <c r="C215" t="b">
        <v>1</v>
      </c>
    </row>
    <row r="216" spans="1:3" x14ac:dyDescent="0.25">
      <c r="A216" s="3" t="s">
        <v>217</v>
      </c>
      <c r="B216" s="4">
        <f t="shared" si="136"/>
        <v>44531</v>
      </c>
      <c r="C216" t="b">
        <v>1</v>
      </c>
    </row>
    <row r="217" spans="1:3" x14ac:dyDescent="0.25">
      <c r="A217" s="3" t="s">
        <v>218</v>
      </c>
      <c r="B217" s="4">
        <f t="shared" ref="B217" si="137">42708+(365*5)</f>
        <v>44533</v>
      </c>
      <c r="C217" t="b">
        <v>1</v>
      </c>
    </row>
    <row r="218" spans="1:3" x14ac:dyDescent="0.25">
      <c r="A218" s="3" t="s">
        <v>219</v>
      </c>
      <c r="B218" s="4">
        <f t="shared" ref="B218" si="138">42710+(365*5)</f>
        <v>44535</v>
      </c>
      <c r="C218" t="b">
        <v>1</v>
      </c>
    </row>
    <row r="219" spans="1:3" x14ac:dyDescent="0.25">
      <c r="A219" s="3" t="s">
        <v>220</v>
      </c>
      <c r="B219" s="4">
        <f t="shared" ref="B219" si="139">42713+(365*5)</f>
        <v>44538</v>
      </c>
      <c r="C219" t="b">
        <v>1</v>
      </c>
    </row>
    <row r="220" spans="1:3" x14ac:dyDescent="0.25">
      <c r="A220" s="3" t="s">
        <v>221</v>
      </c>
      <c r="B220" s="4">
        <f t="shared" ref="B220" si="140">42714+(365*5)</f>
        <v>44539</v>
      </c>
      <c r="C220" t="b">
        <v>1</v>
      </c>
    </row>
    <row r="221" spans="1:3" x14ac:dyDescent="0.25">
      <c r="A221" s="3" t="s">
        <v>222</v>
      </c>
      <c r="B221" s="4">
        <f t="shared" ref="B221" si="141">42715+(365*5)</f>
        <v>44540</v>
      </c>
      <c r="C221" t="b">
        <v>1</v>
      </c>
    </row>
    <row r="222" spans="1:3" x14ac:dyDescent="0.25">
      <c r="A222" s="3" t="s">
        <v>223</v>
      </c>
      <c r="B222" s="4">
        <f t="shared" ref="B222" si="142">42716+(365*5)</f>
        <v>44541</v>
      </c>
      <c r="C222" t="b">
        <v>1</v>
      </c>
    </row>
    <row r="223" spans="1:3" x14ac:dyDescent="0.25">
      <c r="A223" s="3" t="s">
        <v>224</v>
      </c>
      <c r="B223" s="4">
        <f t="shared" ref="B223" si="143">42722+(365*5)</f>
        <v>44547</v>
      </c>
      <c r="C223" t="b">
        <v>1</v>
      </c>
    </row>
    <row r="224" spans="1:3" x14ac:dyDescent="0.25">
      <c r="A224" s="3" t="s">
        <v>225</v>
      </c>
      <c r="B224" s="4">
        <f>42724+(365*5)</f>
        <v>44549</v>
      </c>
      <c r="C224" t="b">
        <v>1</v>
      </c>
    </row>
    <row r="225" spans="1:3" x14ac:dyDescent="0.25">
      <c r="A225" s="3" t="s">
        <v>226</v>
      </c>
      <c r="B225" s="4">
        <f t="shared" ref="B225" si="144">42727+(365*5)</f>
        <v>44552</v>
      </c>
      <c r="C225" t="b">
        <v>1</v>
      </c>
    </row>
    <row r="226" spans="1:3" x14ac:dyDescent="0.25">
      <c r="A226" s="3" t="s">
        <v>227</v>
      </c>
      <c r="B226" s="4">
        <f t="shared" ref="B226" si="145">42729+(365*5)</f>
        <v>44554</v>
      </c>
      <c r="C226" t="b">
        <v>1</v>
      </c>
    </row>
    <row r="227" spans="1:3" x14ac:dyDescent="0.25">
      <c r="A227" s="3" t="s">
        <v>228</v>
      </c>
      <c r="B227" s="4">
        <f t="shared" ref="B227" si="146">42749+(365*5)</f>
        <v>44574</v>
      </c>
      <c r="C227" t="b">
        <v>1</v>
      </c>
    </row>
    <row r="228" spans="1:3" x14ac:dyDescent="0.25">
      <c r="A228" s="3" t="s">
        <v>229</v>
      </c>
      <c r="B228" s="4">
        <f t="shared" ref="B228:B229" si="147">42750+(365*5)</f>
        <v>44575</v>
      </c>
      <c r="C228" t="b">
        <v>1</v>
      </c>
    </row>
    <row r="229" spans="1:3" x14ac:dyDescent="0.25">
      <c r="A229" s="3" t="s">
        <v>230</v>
      </c>
      <c r="B229" s="4">
        <f t="shared" si="147"/>
        <v>44575</v>
      </c>
      <c r="C229" t="b">
        <v>1</v>
      </c>
    </row>
    <row r="230" spans="1:3" x14ac:dyDescent="0.25">
      <c r="A230" s="3" t="s">
        <v>231</v>
      </c>
      <c r="B230" s="4">
        <f t="shared" ref="B230" si="148">42775+(365*5)</f>
        <v>44600</v>
      </c>
      <c r="C230" t="b">
        <v>1</v>
      </c>
    </row>
    <row r="231" spans="1:3" x14ac:dyDescent="0.25">
      <c r="A231" s="3" t="s">
        <v>232</v>
      </c>
      <c r="B231" s="4">
        <f t="shared" ref="B231:B232" si="149">42783+(365*5)</f>
        <v>44608</v>
      </c>
      <c r="C231" t="b">
        <v>1</v>
      </c>
    </row>
    <row r="232" spans="1:3" x14ac:dyDescent="0.25">
      <c r="A232" s="3" t="s">
        <v>233</v>
      </c>
      <c r="B232" s="4">
        <f t="shared" si="149"/>
        <v>44608</v>
      </c>
      <c r="C232" t="b">
        <v>1</v>
      </c>
    </row>
    <row r="233" spans="1:3" x14ac:dyDescent="0.25">
      <c r="A233" s="3" t="s">
        <v>234</v>
      </c>
      <c r="B233" s="4">
        <f>42790+(365*5)</f>
        <v>44615</v>
      </c>
      <c r="C233" t="b">
        <v>1</v>
      </c>
    </row>
    <row r="234" spans="1:3" x14ac:dyDescent="0.25">
      <c r="A234" s="3" t="s">
        <v>235</v>
      </c>
      <c r="B234" s="4">
        <f t="shared" ref="B234" si="150">42798+(365*5)</f>
        <v>44623</v>
      </c>
      <c r="C234" t="b">
        <v>1</v>
      </c>
    </row>
    <row r="235" spans="1:3" x14ac:dyDescent="0.25">
      <c r="A235" s="3" t="s">
        <v>236</v>
      </c>
      <c r="B235" s="4">
        <f>42802+(365*5)</f>
        <v>44627</v>
      </c>
      <c r="C235" t="b">
        <v>1</v>
      </c>
    </row>
    <row r="236" spans="1:3" x14ac:dyDescent="0.25">
      <c r="A236" s="3" t="s">
        <v>237</v>
      </c>
      <c r="B236" s="4">
        <f t="shared" ref="B236" si="151">42804+(365*5)</f>
        <v>44629</v>
      </c>
      <c r="C236" t="b">
        <v>1</v>
      </c>
    </row>
    <row r="237" spans="1:3" x14ac:dyDescent="0.25">
      <c r="A237" s="3" t="s">
        <v>238</v>
      </c>
      <c r="B237" s="4">
        <f t="shared" ref="B237" si="152">42815+(365*5)</f>
        <v>44640</v>
      </c>
      <c r="C237" t="b">
        <v>1</v>
      </c>
    </row>
    <row r="238" spans="1:3" x14ac:dyDescent="0.25">
      <c r="A238" s="3" t="s">
        <v>239</v>
      </c>
      <c r="B238" s="4">
        <f t="shared" ref="B238" si="153">42818+(365*5)</f>
        <v>44643</v>
      </c>
      <c r="C238" t="b">
        <v>1</v>
      </c>
    </row>
    <row r="239" spans="1:3" x14ac:dyDescent="0.25">
      <c r="A239" s="3" t="s">
        <v>240</v>
      </c>
      <c r="B239" s="4">
        <f t="shared" ref="B239" si="154">42819+(365*5)</f>
        <v>44644</v>
      </c>
      <c r="C239" t="b">
        <v>1</v>
      </c>
    </row>
    <row r="240" spans="1:3" x14ac:dyDescent="0.25">
      <c r="A240" s="3" t="s">
        <v>241</v>
      </c>
      <c r="B240" s="4">
        <f t="shared" ref="B240" si="155">42824+(365*5)</f>
        <v>44649</v>
      </c>
      <c r="C240" t="b">
        <v>1</v>
      </c>
    </row>
    <row r="241" spans="1:3" x14ac:dyDescent="0.25">
      <c r="A241" s="3" t="s">
        <v>242</v>
      </c>
      <c r="B241" s="4">
        <f t="shared" ref="B241" si="156">42825+(365*5)</f>
        <v>44650</v>
      </c>
      <c r="C241" t="b">
        <v>1</v>
      </c>
    </row>
    <row r="242" spans="1:3" x14ac:dyDescent="0.25">
      <c r="A242" s="3" t="s">
        <v>243</v>
      </c>
      <c r="B242" s="4">
        <f>42831+(365*5)</f>
        <v>44656</v>
      </c>
      <c r="C242" t="b">
        <v>1</v>
      </c>
    </row>
    <row r="243" spans="1:3" x14ac:dyDescent="0.25">
      <c r="A243" s="3" t="s">
        <v>244</v>
      </c>
      <c r="B243" s="4">
        <f t="shared" ref="B243" si="157">42834+(365*5)</f>
        <v>44659</v>
      </c>
      <c r="C243" t="b">
        <v>1</v>
      </c>
    </row>
    <row r="244" spans="1:3" x14ac:dyDescent="0.25">
      <c r="A244" s="3" t="s">
        <v>245</v>
      </c>
      <c r="B244" s="4">
        <f t="shared" ref="B244" si="158">42836+(365*5)</f>
        <v>44661</v>
      </c>
      <c r="C244" t="b">
        <v>1</v>
      </c>
    </row>
    <row r="245" spans="1:3" x14ac:dyDescent="0.25">
      <c r="A245" s="3" t="s">
        <v>246</v>
      </c>
      <c r="B245" s="4">
        <f t="shared" ref="B245" si="159">42839+(365*5)</f>
        <v>44664</v>
      </c>
      <c r="C245" t="b">
        <v>1</v>
      </c>
    </row>
    <row r="246" spans="1:3" x14ac:dyDescent="0.25">
      <c r="A246" s="3" t="s">
        <v>247</v>
      </c>
      <c r="B246" s="4">
        <f>42847+(365*5)</f>
        <v>44672</v>
      </c>
      <c r="C246" t="b">
        <v>1</v>
      </c>
    </row>
    <row r="247" spans="1:3" x14ac:dyDescent="0.25">
      <c r="A247" s="3" t="s">
        <v>248</v>
      </c>
      <c r="B247" s="4">
        <f>42863+(365*5)</f>
        <v>44688</v>
      </c>
      <c r="C247" t="b">
        <v>1</v>
      </c>
    </row>
    <row r="248" spans="1:3" x14ac:dyDescent="0.25">
      <c r="A248" s="3" t="s">
        <v>249</v>
      </c>
      <c r="B248" s="4">
        <f t="shared" ref="B248:B249" si="160">42864+(365*5)</f>
        <v>44689</v>
      </c>
      <c r="C248" t="b">
        <v>1</v>
      </c>
    </row>
    <row r="249" spans="1:3" x14ac:dyDescent="0.25">
      <c r="A249" s="3" t="s">
        <v>250</v>
      </c>
      <c r="B249" s="4">
        <f t="shared" si="160"/>
        <v>44689</v>
      </c>
      <c r="C249" t="b">
        <v>1</v>
      </c>
    </row>
    <row r="250" spans="1:3" x14ac:dyDescent="0.25">
      <c r="A250" s="3" t="s">
        <v>251</v>
      </c>
      <c r="B250" s="4">
        <f t="shared" ref="B250" si="161">42867+(365*5)</f>
        <v>44692</v>
      </c>
      <c r="C250" t="b">
        <v>1</v>
      </c>
    </row>
    <row r="251" spans="1:3" x14ac:dyDescent="0.25">
      <c r="A251" s="3" t="s">
        <v>252</v>
      </c>
      <c r="B251" s="4">
        <f t="shared" ref="B251" si="162">42869+(365*5)</f>
        <v>44694</v>
      </c>
      <c r="C251" t="b">
        <v>1</v>
      </c>
    </row>
    <row r="252" spans="1:3" x14ac:dyDescent="0.25">
      <c r="A252" s="3" t="s">
        <v>253</v>
      </c>
      <c r="B252" s="4">
        <f t="shared" ref="B252" si="163">42873+(365*5)</f>
        <v>44698</v>
      </c>
      <c r="C252" t="b">
        <v>1</v>
      </c>
    </row>
    <row r="253" spans="1:3" x14ac:dyDescent="0.25">
      <c r="A253" s="3" t="s">
        <v>254</v>
      </c>
      <c r="B253" s="4">
        <f>42878+(365*5)</f>
        <v>44703</v>
      </c>
      <c r="C253" t="b">
        <v>1</v>
      </c>
    </row>
    <row r="254" spans="1:3" x14ac:dyDescent="0.25">
      <c r="A254" s="3" t="s">
        <v>255</v>
      </c>
      <c r="B254" s="4">
        <f t="shared" ref="B254" si="164">42884+(365*5)</f>
        <v>44709</v>
      </c>
      <c r="C254" t="b">
        <v>1</v>
      </c>
    </row>
    <row r="255" spans="1:3" x14ac:dyDescent="0.25">
      <c r="A255" s="3" t="s">
        <v>256</v>
      </c>
      <c r="B255" s="4">
        <f t="shared" ref="B255" si="165">42897+(365*5)</f>
        <v>44722</v>
      </c>
      <c r="C255" t="b">
        <v>1</v>
      </c>
    </row>
    <row r="256" spans="1:3" x14ac:dyDescent="0.25">
      <c r="A256" s="3" t="s">
        <v>257</v>
      </c>
      <c r="B256" s="4">
        <f t="shared" ref="B256:B257" si="166">42898+(365*5)</f>
        <v>44723</v>
      </c>
      <c r="C256" t="b">
        <v>1</v>
      </c>
    </row>
    <row r="257" spans="1:3" x14ac:dyDescent="0.25">
      <c r="A257" s="3" t="s">
        <v>258</v>
      </c>
      <c r="B257" s="4">
        <f t="shared" si="166"/>
        <v>44723</v>
      </c>
      <c r="C257" t="b">
        <v>1</v>
      </c>
    </row>
    <row r="258" spans="1:3" x14ac:dyDescent="0.25">
      <c r="A258" s="3" t="s">
        <v>259</v>
      </c>
      <c r="B258" s="4">
        <f t="shared" ref="B258" si="167">42901+(365*5)</f>
        <v>44726</v>
      </c>
      <c r="C258" t="b">
        <v>1</v>
      </c>
    </row>
    <row r="259" spans="1:3" x14ac:dyDescent="0.25">
      <c r="A259" s="3" t="s">
        <v>260</v>
      </c>
      <c r="B259" s="4">
        <f t="shared" ref="B259" si="168">42905+(365*5)</f>
        <v>44730</v>
      </c>
      <c r="C259" t="b">
        <v>1</v>
      </c>
    </row>
    <row r="260" spans="1:3" x14ac:dyDescent="0.25">
      <c r="A260" s="3" t="s">
        <v>261</v>
      </c>
      <c r="B260" s="4">
        <f t="shared" ref="B260" si="169">42915+(365*5)</f>
        <v>44740</v>
      </c>
      <c r="C260" t="b">
        <v>1</v>
      </c>
    </row>
    <row r="261" spans="1:3" x14ac:dyDescent="0.25">
      <c r="A261" s="3" t="s">
        <v>262</v>
      </c>
      <c r="B261" s="4">
        <f t="shared" ref="B261:B262" si="170">42919+(365*5)</f>
        <v>44744</v>
      </c>
      <c r="C261" t="b">
        <v>1</v>
      </c>
    </row>
    <row r="262" spans="1:3" x14ac:dyDescent="0.25">
      <c r="A262" s="3" t="s">
        <v>263</v>
      </c>
      <c r="B262" s="4">
        <f t="shared" si="170"/>
        <v>44744</v>
      </c>
      <c r="C262" t="b">
        <v>1</v>
      </c>
    </row>
    <row r="263" spans="1:3" x14ac:dyDescent="0.25">
      <c r="A263" s="3" t="s">
        <v>264</v>
      </c>
      <c r="B263" s="4">
        <f t="shared" ref="B263" si="171">42924+(365*5)</f>
        <v>44749</v>
      </c>
      <c r="C263" t="b">
        <v>1</v>
      </c>
    </row>
    <row r="264" spans="1:3" x14ac:dyDescent="0.25">
      <c r="A264" s="3" t="s">
        <v>265</v>
      </c>
      <c r="B264" s="4">
        <f t="shared" ref="B264" si="172">42925+(365*5)</f>
        <v>44750</v>
      </c>
      <c r="C264" t="b">
        <v>1</v>
      </c>
    </row>
    <row r="265" spans="1:3" x14ac:dyDescent="0.25">
      <c r="A265" s="3" t="s">
        <v>266</v>
      </c>
      <c r="B265" s="4">
        <f t="shared" ref="B265" si="173">42934+(365*5)</f>
        <v>44759</v>
      </c>
      <c r="C265" t="b">
        <v>1</v>
      </c>
    </row>
    <row r="266" spans="1:3" x14ac:dyDescent="0.25">
      <c r="A266" s="3" t="s">
        <v>267</v>
      </c>
      <c r="B266" s="4">
        <f t="shared" ref="B266" si="174">42936+(365*5)</f>
        <v>44761</v>
      </c>
      <c r="C266" t="b">
        <v>1</v>
      </c>
    </row>
    <row r="267" spans="1:3" x14ac:dyDescent="0.25">
      <c r="A267" s="3" t="s">
        <v>268</v>
      </c>
      <c r="B267" s="4">
        <f t="shared" ref="B267" si="175">42948+(365*5)</f>
        <v>44773</v>
      </c>
      <c r="C267" t="b">
        <v>1</v>
      </c>
    </row>
    <row r="268" spans="1:3" x14ac:dyDescent="0.25">
      <c r="A268" s="3" t="s">
        <v>269</v>
      </c>
      <c r="B268" s="4">
        <f t="shared" ref="B268" si="176">42950+(365*5)</f>
        <v>44775</v>
      </c>
      <c r="C268" t="b">
        <v>1</v>
      </c>
    </row>
    <row r="269" spans="1:3" x14ac:dyDescent="0.25">
      <c r="A269" s="3" t="s">
        <v>270</v>
      </c>
      <c r="B269" s="4">
        <f>42952+(365*5)</f>
        <v>44777</v>
      </c>
      <c r="C269" t="b">
        <v>1</v>
      </c>
    </row>
    <row r="270" spans="1:3" x14ac:dyDescent="0.25">
      <c r="A270" s="3" t="s">
        <v>271</v>
      </c>
      <c r="B270" s="4">
        <f t="shared" ref="B270" si="177">42954+(365*5)</f>
        <v>44779</v>
      </c>
      <c r="C270" t="b">
        <v>1</v>
      </c>
    </row>
    <row r="271" spans="1:3" x14ac:dyDescent="0.25">
      <c r="A271" s="3" t="s">
        <v>272</v>
      </c>
      <c r="B271" s="4">
        <f t="shared" ref="B271" si="178">42959+(365*5)</f>
        <v>44784</v>
      </c>
      <c r="C271" t="b">
        <v>1</v>
      </c>
    </row>
    <row r="272" spans="1:3" x14ac:dyDescent="0.25">
      <c r="A272" s="3" t="s">
        <v>273</v>
      </c>
      <c r="B272" s="4">
        <f t="shared" ref="B272" si="179">42967+(365*5)</f>
        <v>44792</v>
      </c>
      <c r="C272" t="b">
        <v>1</v>
      </c>
    </row>
    <row r="273" spans="1:3" x14ac:dyDescent="0.25">
      <c r="A273" s="3" t="s">
        <v>274</v>
      </c>
      <c r="B273" s="4">
        <f t="shared" ref="B273" si="180">42975+(365*5)</f>
        <v>44800</v>
      </c>
      <c r="C273" t="b">
        <v>1</v>
      </c>
    </row>
    <row r="274" spans="1:3" x14ac:dyDescent="0.25">
      <c r="A274" s="3" t="s">
        <v>275</v>
      </c>
      <c r="B274" s="4">
        <f t="shared" ref="B274" si="181">42978+(365*5)</f>
        <v>44803</v>
      </c>
      <c r="C274" t="b">
        <v>1</v>
      </c>
    </row>
    <row r="275" spans="1:3" x14ac:dyDescent="0.25">
      <c r="A275" s="3" t="s">
        <v>276</v>
      </c>
      <c r="B275" s="4">
        <f t="shared" ref="B275" si="182">42980+(365*5)</f>
        <v>44805</v>
      </c>
      <c r="C275" t="b">
        <v>1</v>
      </c>
    </row>
    <row r="276" spans="1:3" x14ac:dyDescent="0.25">
      <c r="A276" s="3" t="s">
        <v>277</v>
      </c>
      <c r="B276" s="4">
        <f t="shared" ref="B276" si="183">42982+(365*5)</f>
        <v>44807</v>
      </c>
      <c r="C276" t="b">
        <v>1</v>
      </c>
    </row>
    <row r="277" spans="1:3" x14ac:dyDescent="0.25">
      <c r="A277" s="3" t="s">
        <v>278</v>
      </c>
      <c r="B277" s="4">
        <f>42983+(365*5)</f>
        <v>44808</v>
      </c>
      <c r="C277" t="b">
        <v>1</v>
      </c>
    </row>
    <row r="278" spans="1:3" x14ac:dyDescent="0.25">
      <c r="A278" s="3" t="s">
        <v>279</v>
      </c>
      <c r="B278" s="4">
        <f t="shared" ref="B278:B279" si="184">42985+(365*5)</f>
        <v>44810</v>
      </c>
      <c r="C278" t="b">
        <v>1</v>
      </c>
    </row>
    <row r="279" spans="1:3" x14ac:dyDescent="0.25">
      <c r="A279" s="3" t="s">
        <v>280</v>
      </c>
      <c r="B279" s="4">
        <f t="shared" si="184"/>
        <v>44810</v>
      </c>
      <c r="C279" t="b">
        <v>1</v>
      </c>
    </row>
    <row r="280" spans="1:3" x14ac:dyDescent="0.25">
      <c r="A280" s="3" t="s">
        <v>281</v>
      </c>
      <c r="B280" s="4">
        <f t="shared" ref="B280" si="185">42986+(365*5)</f>
        <v>44811</v>
      </c>
      <c r="C280" t="b">
        <v>1</v>
      </c>
    </row>
    <row r="281" spans="1:3" x14ac:dyDescent="0.25">
      <c r="A281" s="3" t="s">
        <v>282</v>
      </c>
      <c r="B281" s="4">
        <f t="shared" ref="B281" si="186">42987+(365*5)</f>
        <v>44812</v>
      </c>
      <c r="C281" t="b">
        <v>1</v>
      </c>
    </row>
    <row r="282" spans="1:3" x14ac:dyDescent="0.25">
      <c r="A282" s="3" t="s">
        <v>283</v>
      </c>
      <c r="B282" s="4">
        <f t="shared" ref="B282" si="187">42988+(365*5)</f>
        <v>44813</v>
      </c>
      <c r="C282" t="b">
        <v>1</v>
      </c>
    </row>
    <row r="283" spans="1:3" x14ac:dyDescent="0.25">
      <c r="A283" s="3" t="s">
        <v>284</v>
      </c>
      <c r="B283" s="4">
        <f t="shared" ref="B283:B284" si="188">42989+(365*5)</f>
        <v>44814</v>
      </c>
      <c r="C283" t="b">
        <v>1</v>
      </c>
    </row>
    <row r="284" spans="1:3" x14ac:dyDescent="0.25">
      <c r="A284" s="3" t="s">
        <v>285</v>
      </c>
      <c r="B284" s="4">
        <f t="shared" si="188"/>
        <v>44814</v>
      </c>
      <c r="C284" t="b">
        <v>1</v>
      </c>
    </row>
    <row r="285" spans="1:3" x14ac:dyDescent="0.25">
      <c r="A285" s="3" t="s">
        <v>286</v>
      </c>
      <c r="B285" s="4">
        <f t="shared" ref="B285" si="189">42990+(365*5)</f>
        <v>44815</v>
      </c>
      <c r="C285" t="b">
        <v>1</v>
      </c>
    </row>
    <row r="286" spans="1:3" x14ac:dyDescent="0.25">
      <c r="A286" s="3" t="s">
        <v>287</v>
      </c>
      <c r="B286" s="4">
        <f t="shared" ref="B286" si="190">42993+(365*5)</f>
        <v>44818</v>
      </c>
      <c r="C286" t="b">
        <v>1</v>
      </c>
    </row>
    <row r="287" spans="1:3" x14ac:dyDescent="0.25">
      <c r="A287" s="3" t="s">
        <v>288</v>
      </c>
      <c r="B287" s="4">
        <f t="shared" ref="B287:B288" si="191">42994+(365*5)</f>
        <v>44819</v>
      </c>
      <c r="C287" t="b">
        <v>1</v>
      </c>
    </row>
    <row r="288" spans="1:3" x14ac:dyDescent="0.25">
      <c r="A288" s="3" t="s">
        <v>289</v>
      </c>
      <c r="B288" s="4">
        <f t="shared" si="191"/>
        <v>44819</v>
      </c>
      <c r="C288" t="b">
        <v>1</v>
      </c>
    </row>
    <row r="289" spans="1:3" x14ac:dyDescent="0.25">
      <c r="A289" s="3" t="s">
        <v>290</v>
      </c>
      <c r="B289" s="4">
        <f t="shared" ref="B289" si="192">42996+(365*5)</f>
        <v>44821</v>
      </c>
      <c r="C289" t="b">
        <v>1</v>
      </c>
    </row>
    <row r="290" spans="1:3" x14ac:dyDescent="0.25">
      <c r="A290" s="3" t="s">
        <v>291</v>
      </c>
      <c r="B290" s="4">
        <f t="shared" ref="B290:B291" si="193">42997+(365*5)</f>
        <v>44822</v>
      </c>
      <c r="C290" t="b">
        <v>1</v>
      </c>
    </row>
    <row r="291" spans="1:3" x14ac:dyDescent="0.25">
      <c r="A291" s="3" t="s">
        <v>292</v>
      </c>
      <c r="B291" s="4">
        <f t="shared" si="193"/>
        <v>44822</v>
      </c>
      <c r="C291" t="b">
        <v>1</v>
      </c>
    </row>
    <row r="292" spans="1:3" x14ac:dyDescent="0.25">
      <c r="A292" s="3" t="s">
        <v>293</v>
      </c>
      <c r="B292" s="4">
        <f t="shared" ref="B292" si="194">42999+(365*5)</f>
        <v>44824</v>
      </c>
      <c r="C292" t="b">
        <v>1</v>
      </c>
    </row>
    <row r="293" spans="1:3" x14ac:dyDescent="0.25">
      <c r="A293" s="3" t="s">
        <v>294</v>
      </c>
      <c r="B293" s="4">
        <f t="shared" ref="B293:B294" si="195">43007+(365*5)</f>
        <v>44832</v>
      </c>
      <c r="C293" t="b">
        <v>1</v>
      </c>
    </row>
    <row r="294" spans="1:3" x14ac:dyDescent="0.25">
      <c r="A294" s="3" t="s">
        <v>295</v>
      </c>
      <c r="B294" s="4">
        <f t="shared" si="195"/>
        <v>44832</v>
      </c>
      <c r="C294" t="b">
        <v>1</v>
      </c>
    </row>
    <row r="295" spans="1:3" x14ac:dyDescent="0.25">
      <c r="A295" s="3" t="s">
        <v>296</v>
      </c>
      <c r="B295" s="4">
        <f t="shared" ref="B295" si="196">43010+(365*5)</f>
        <v>44835</v>
      </c>
      <c r="C295" t="b">
        <v>1</v>
      </c>
    </row>
    <row r="296" spans="1:3" x14ac:dyDescent="0.25">
      <c r="A296" s="3" t="s">
        <v>297</v>
      </c>
      <c r="B296" s="4">
        <f t="shared" ref="B296" si="197">43015+(365*5)</f>
        <v>44840</v>
      </c>
      <c r="C296" t="b">
        <v>1</v>
      </c>
    </row>
    <row r="297" spans="1:3" x14ac:dyDescent="0.25">
      <c r="A297" s="3" t="s">
        <v>298</v>
      </c>
      <c r="B297" s="4">
        <f t="shared" ref="B297" si="198">43020+(365*5)</f>
        <v>44845</v>
      </c>
      <c r="C297" t="b">
        <v>1</v>
      </c>
    </row>
    <row r="298" spans="1:3" x14ac:dyDescent="0.25">
      <c r="A298" s="3" t="s">
        <v>299</v>
      </c>
      <c r="B298" s="4">
        <f t="shared" ref="B298" si="199">43024+(365*5)</f>
        <v>44849</v>
      </c>
      <c r="C298" t="b">
        <v>1</v>
      </c>
    </row>
    <row r="299" spans="1:3" x14ac:dyDescent="0.25">
      <c r="A299" s="3" t="s">
        <v>300</v>
      </c>
      <c r="B299" s="4">
        <f t="shared" ref="B299" si="200">43027+(365*5)</f>
        <v>44852</v>
      </c>
      <c r="C299" t="b">
        <v>1</v>
      </c>
    </row>
    <row r="300" spans="1:3" x14ac:dyDescent="0.25">
      <c r="A300" s="3" t="s">
        <v>301</v>
      </c>
      <c r="B300" s="4">
        <f t="shared" ref="B300" si="201">43030+(365*5)</f>
        <v>44855</v>
      </c>
      <c r="C300" t="b">
        <v>1</v>
      </c>
    </row>
    <row r="301" spans="1:3" x14ac:dyDescent="0.25">
      <c r="A301" s="3" t="s">
        <v>302</v>
      </c>
      <c r="B301" s="4">
        <f t="shared" ref="B301" si="202">43031+(365*5)</f>
        <v>44856</v>
      </c>
      <c r="C301" t="b">
        <v>1</v>
      </c>
    </row>
    <row r="302" spans="1:3" x14ac:dyDescent="0.25">
      <c r="A302" s="3" t="s">
        <v>303</v>
      </c>
      <c r="B302" s="4">
        <f t="shared" ref="B302" si="203">43041+(365*5)</f>
        <v>44866</v>
      </c>
      <c r="C302" t="b">
        <v>1</v>
      </c>
    </row>
    <row r="303" spans="1:3" x14ac:dyDescent="0.25">
      <c r="A303" s="3" t="s">
        <v>304</v>
      </c>
      <c r="B303" s="4">
        <f t="shared" ref="B303:B305" si="204">43042+(365*5)</f>
        <v>44867</v>
      </c>
      <c r="C303" t="b">
        <v>1</v>
      </c>
    </row>
    <row r="304" spans="1:3" x14ac:dyDescent="0.25">
      <c r="A304" s="3" t="s">
        <v>305</v>
      </c>
      <c r="B304" s="4">
        <f t="shared" si="204"/>
        <v>44867</v>
      </c>
      <c r="C304" t="b">
        <v>1</v>
      </c>
    </row>
    <row r="305" spans="1:3" x14ac:dyDescent="0.25">
      <c r="A305" s="3" t="s">
        <v>306</v>
      </c>
      <c r="B305" s="4">
        <f t="shared" si="204"/>
        <v>44867</v>
      </c>
      <c r="C305" t="b">
        <v>1</v>
      </c>
    </row>
    <row r="306" spans="1:3" x14ac:dyDescent="0.25">
      <c r="A306" s="3" t="s">
        <v>307</v>
      </c>
      <c r="B306" s="4">
        <f t="shared" ref="B306" si="205">43044+(365*5)</f>
        <v>44869</v>
      </c>
      <c r="C306" t="b">
        <v>1</v>
      </c>
    </row>
    <row r="307" spans="1:3" x14ac:dyDescent="0.25">
      <c r="A307" s="3" t="s">
        <v>308</v>
      </c>
      <c r="B307" s="4">
        <f t="shared" ref="B307" si="206">43045+(365*5)</f>
        <v>44870</v>
      </c>
      <c r="C307" t="b">
        <v>1</v>
      </c>
    </row>
    <row r="308" spans="1:3" x14ac:dyDescent="0.25">
      <c r="A308" s="3" t="s">
        <v>309</v>
      </c>
      <c r="B308" s="4">
        <f t="shared" ref="B308" si="207">43046+(365*5)</f>
        <v>44871</v>
      </c>
      <c r="C308" t="b">
        <v>1</v>
      </c>
    </row>
    <row r="309" spans="1:3" x14ac:dyDescent="0.25">
      <c r="A309" s="3" t="s">
        <v>310</v>
      </c>
      <c r="B309" s="4">
        <f t="shared" ref="B309" si="208">43048+(365*5)</f>
        <v>44873</v>
      </c>
      <c r="C309" t="b">
        <v>1</v>
      </c>
    </row>
    <row r="310" spans="1:3" x14ac:dyDescent="0.25">
      <c r="A310" s="3" t="s">
        <v>311</v>
      </c>
      <c r="B310" s="4">
        <f t="shared" ref="B310" si="209">43055+(365*5)</f>
        <v>44880</v>
      </c>
      <c r="C310" t="b">
        <v>1</v>
      </c>
    </row>
    <row r="311" spans="1:3" x14ac:dyDescent="0.25">
      <c r="A311" s="3" t="s">
        <v>312</v>
      </c>
      <c r="B311" s="4">
        <f t="shared" ref="B311:B312" si="210">43057+(365*5)</f>
        <v>44882</v>
      </c>
      <c r="C311" t="b">
        <v>1</v>
      </c>
    </row>
    <row r="312" spans="1:3" x14ac:dyDescent="0.25">
      <c r="A312" s="3" t="s">
        <v>313</v>
      </c>
      <c r="B312" s="4">
        <f t="shared" si="210"/>
        <v>44882</v>
      </c>
      <c r="C312" t="b">
        <v>1</v>
      </c>
    </row>
    <row r="313" spans="1:3" x14ac:dyDescent="0.25">
      <c r="A313" s="3" t="s">
        <v>314</v>
      </c>
      <c r="B313" s="4">
        <f t="shared" ref="B313" si="211">43058+(365*5)</f>
        <v>44883</v>
      </c>
      <c r="C313" t="b">
        <v>1</v>
      </c>
    </row>
    <row r="314" spans="1:3" x14ac:dyDescent="0.25">
      <c r="A314" s="3" t="s">
        <v>315</v>
      </c>
      <c r="B314" s="4">
        <f t="shared" ref="B314" si="212">43062+(365*5)</f>
        <v>44887</v>
      </c>
      <c r="C314" t="b">
        <v>1</v>
      </c>
    </row>
    <row r="315" spans="1:3" x14ac:dyDescent="0.25">
      <c r="A315" s="3" t="s">
        <v>316</v>
      </c>
      <c r="B315" s="4">
        <f t="shared" ref="B315:B316" si="213">43066+(365*5)</f>
        <v>44891</v>
      </c>
      <c r="C315" t="b">
        <v>1</v>
      </c>
    </row>
    <row r="316" spans="1:3" x14ac:dyDescent="0.25">
      <c r="A316" s="3" t="s">
        <v>317</v>
      </c>
      <c r="B316" s="4">
        <f t="shared" si="213"/>
        <v>44891</v>
      </c>
      <c r="C316" t="b">
        <v>1</v>
      </c>
    </row>
    <row r="317" spans="1:3" x14ac:dyDescent="0.25">
      <c r="A317" s="3" t="s">
        <v>318</v>
      </c>
      <c r="B317" s="4">
        <f>43068+(365*5)</f>
        <v>44893</v>
      </c>
      <c r="C317" t="b">
        <v>1</v>
      </c>
    </row>
    <row r="318" spans="1:3" x14ac:dyDescent="0.25">
      <c r="A318" s="3" t="s">
        <v>319</v>
      </c>
      <c r="B318" s="4">
        <f t="shared" ref="B318:B320" si="214">43070+(365*5)</f>
        <v>44895</v>
      </c>
      <c r="C318" t="b">
        <v>1</v>
      </c>
    </row>
    <row r="319" spans="1:3" x14ac:dyDescent="0.25">
      <c r="A319" s="3" t="s">
        <v>320</v>
      </c>
      <c r="B319" s="4">
        <f t="shared" si="214"/>
        <v>44895</v>
      </c>
      <c r="C319" t="b">
        <v>1</v>
      </c>
    </row>
    <row r="320" spans="1:3" x14ac:dyDescent="0.25">
      <c r="A320" s="3" t="s">
        <v>321</v>
      </c>
      <c r="B320" s="4">
        <f t="shared" si="214"/>
        <v>44895</v>
      </c>
      <c r="C320" t="b">
        <v>1</v>
      </c>
    </row>
    <row r="321" spans="1:3" x14ac:dyDescent="0.25">
      <c r="A321" s="3" t="s">
        <v>322</v>
      </c>
      <c r="B321" s="4">
        <f t="shared" ref="B321:B322" si="215">43071+(365*5)</f>
        <v>44896</v>
      </c>
      <c r="C321" t="b">
        <v>1</v>
      </c>
    </row>
    <row r="322" spans="1:3" x14ac:dyDescent="0.25">
      <c r="A322" s="3" t="s">
        <v>323</v>
      </c>
      <c r="B322" s="4">
        <f t="shared" si="215"/>
        <v>44896</v>
      </c>
      <c r="C322" t="b">
        <v>1</v>
      </c>
    </row>
    <row r="323" spans="1:3" x14ac:dyDescent="0.25">
      <c r="A323" s="3" t="s">
        <v>324</v>
      </c>
      <c r="B323" s="4">
        <f t="shared" ref="B323" si="216">43074+(365*5)</f>
        <v>44899</v>
      </c>
      <c r="C323" t="b">
        <v>1</v>
      </c>
    </row>
    <row r="324" spans="1:3" x14ac:dyDescent="0.25">
      <c r="A324" s="3" t="s">
        <v>325</v>
      </c>
      <c r="B324" s="4">
        <f t="shared" ref="B324" si="217">43076+(365*5)</f>
        <v>44901</v>
      </c>
      <c r="C324" t="b">
        <v>1</v>
      </c>
    </row>
    <row r="325" spans="1:3" x14ac:dyDescent="0.25">
      <c r="A325" s="3" t="s">
        <v>326</v>
      </c>
      <c r="B325" s="4">
        <f t="shared" ref="B325:B326" si="218">43078+(365*5)</f>
        <v>44903</v>
      </c>
      <c r="C325" t="b">
        <v>1</v>
      </c>
    </row>
    <row r="326" spans="1:3" x14ac:dyDescent="0.25">
      <c r="A326" s="3" t="s">
        <v>327</v>
      </c>
      <c r="B326" s="4">
        <f t="shared" si="218"/>
        <v>44903</v>
      </c>
      <c r="C326" t="b">
        <v>1</v>
      </c>
    </row>
    <row r="327" spans="1:3" x14ac:dyDescent="0.25">
      <c r="A327" s="3" t="s">
        <v>328</v>
      </c>
      <c r="B327" s="4">
        <f t="shared" ref="B327" si="219">43079+(365*5)</f>
        <v>44904</v>
      </c>
      <c r="C327" t="b">
        <v>1</v>
      </c>
    </row>
    <row r="328" spans="1:3" x14ac:dyDescent="0.25">
      <c r="A328" s="3" t="s">
        <v>329</v>
      </c>
      <c r="B328" s="4">
        <f>43082+(365*5)</f>
        <v>44907</v>
      </c>
      <c r="C328" t="b">
        <v>1</v>
      </c>
    </row>
    <row r="329" spans="1:3" x14ac:dyDescent="0.25">
      <c r="A329" s="3" t="s">
        <v>330</v>
      </c>
      <c r="B329" s="4">
        <f>43082+(365*5)</f>
        <v>44907</v>
      </c>
      <c r="C329" t="b">
        <v>1</v>
      </c>
    </row>
    <row r="330" spans="1:3" x14ac:dyDescent="0.25">
      <c r="A330" s="3" t="s">
        <v>331</v>
      </c>
      <c r="B330" s="4">
        <f t="shared" ref="B330" si="220">43087+(365*5)</f>
        <v>44912</v>
      </c>
      <c r="C330" t="b">
        <v>1</v>
      </c>
    </row>
    <row r="331" spans="1:3" x14ac:dyDescent="0.25">
      <c r="A331" s="3"/>
      <c r="B331" s="4">
        <f t="shared" ref="B331:B332" si="221">43091+(365*5)</f>
        <v>44916</v>
      </c>
      <c r="C331" t="b">
        <v>1</v>
      </c>
    </row>
    <row r="332" spans="1:3" x14ac:dyDescent="0.25">
      <c r="B332" s="4">
        <f t="shared" si="221"/>
        <v>44916</v>
      </c>
      <c r="C332" t="b">
        <v>1</v>
      </c>
    </row>
    <row r="333" spans="1:3" x14ac:dyDescent="0.25">
      <c r="B333" s="4">
        <f t="shared" ref="B333:B335" si="222">43094+(365*5)</f>
        <v>44919</v>
      </c>
      <c r="C333" t="b">
        <v>1</v>
      </c>
    </row>
    <row r="334" spans="1:3" x14ac:dyDescent="0.25">
      <c r="B334" s="4">
        <f t="shared" si="222"/>
        <v>44919</v>
      </c>
      <c r="C334" t="b">
        <v>1</v>
      </c>
    </row>
    <row r="335" spans="1:3" x14ac:dyDescent="0.25">
      <c r="B335" s="4">
        <f t="shared" si="222"/>
        <v>44919</v>
      </c>
      <c r="C335" t="b">
        <v>1</v>
      </c>
    </row>
    <row r="336" spans="1:3" x14ac:dyDescent="0.25">
      <c r="B336" s="4">
        <f>43096+(365*5)</f>
        <v>44921</v>
      </c>
      <c r="C336" t="b">
        <v>1</v>
      </c>
    </row>
    <row r="337" spans="2:4" x14ac:dyDescent="0.25">
      <c r="B337" s="4">
        <f t="shared" ref="B337" si="223">43097+(365*5)</f>
        <v>44922</v>
      </c>
      <c r="C337" t="b">
        <v>1</v>
      </c>
    </row>
    <row r="338" spans="2:4" x14ac:dyDescent="0.25">
      <c r="B338" s="4">
        <f t="shared" ref="B338" si="224">43099+(365*5)</f>
        <v>44924</v>
      </c>
      <c r="C338" t="b">
        <v>1</v>
      </c>
      <c r="D338">
        <f>365*5</f>
        <v>1825</v>
      </c>
    </row>
  </sheetData>
  <autoFilter ref="A1:D338" xr:uid="{126C8097-BD0A-4470-9359-802BBFE4D3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2023-01-09T03:00:48Z</dcterms:created>
  <dcterms:modified xsi:type="dcterms:W3CDTF">2023-01-09T03:01:41Z</dcterms:modified>
</cp:coreProperties>
</file>